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Test Metrics Problem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Module Summary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Requirements" sheetId="6" state="visible" r:id="rId6"/>
    <sheet xmlns:r="http://schemas.openxmlformats.org/officeDocument/2006/relationships" name="Defects" sheetId="7" state="visible" r:id="rId7"/>
    <sheet xmlns:r="http://schemas.openxmlformats.org/officeDocument/2006/relationships" name="Response Tim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0"/>
    <numFmt numFmtId="166" formatCode="0.00 sec"/>
    <numFmt numFmtId="167" formatCode="0.0"/>
    <numFmt numFmtId="168" formatCode="0.0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595959"/>
      <sz val="9"/>
    </font>
    <font>
      <name val="Arial"/>
      <b val="1"/>
      <color rgb="001F497D"/>
      <sz val="20"/>
    </font>
    <font>
      <name val="Arial"/>
      <b val="1"/>
      <color rgb="00006100"/>
      <sz val="20"/>
    </font>
    <font>
      <name val="Arial"/>
      <b val="1"/>
      <color rgb="001F497D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1F497D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9EEF4"/>
      </patternFill>
    </fill>
    <fill>
      <patternFill patternType="solid">
        <fgColor rgb="00DCE6F1"/>
      </patternFill>
    </fill>
    <fill>
      <patternFill patternType="solid">
        <fgColor rgb="00F2F5F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9" fillId="0" borderId="0" pivotButton="0" quotePrefix="0" xfId="0"/>
    <xf numFmtId="0" fontId="5" fillId="4" borderId="0" pivotButton="0" quotePrefix="0" xfId="0"/>
    <xf numFmtId="3" fontId="6" fillId="4" borderId="0" pivotButton="0" quotePrefix="0" xfId="0"/>
    <xf numFmtId="4" fontId="6" fillId="0" borderId="0" pivotButton="0" quotePrefix="0" xfId="0"/>
    <xf numFmtId="0" fontId="7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4" fontId="7" fillId="0" borderId="1" pivotButton="0" quotePrefix="0" xfId="0"/>
    <xf numFmtId="164" fontId="6" fillId="0" borderId="1" pivotButton="0" quotePrefix="0" xfId="0"/>
    <xf numFmtId="0" fontId="8" fillId="2" borderId="0" pivotButton="0" quotePrefix="0" xfId="0"/>
    <xf numFmtId="3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7" fillId="0" borderId="0" applyAlignment="1" pivotButton="0" quotePrefix="0" xfId="0">
      <alignment vertical="top" wrapText="1"/>
    </xf>
    <xf numFmtId="0" fontId="7" fillId="5" borderId="1" pivotButton="0" quotePrefix="0" xfId="0"/>
    <xf numFmtId="0" fontId="10" fillId="6" borderId="1" applyAlignment="1" pivotButton="0" quotePrefix="0" xfId="0">
      <alignment horizontal="center"/>
    </xf>
    <xf numFmtId="0" fontId="7" fillId="7" borderId="1" pivotButton="0" quotePrefix="0" xfId="0"/>
    <xf numFmtId="0" fontId="11" fillId="8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7" fontId="7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0" borderId="0" pivotButton="0" quotePrefix="0" xfId="0"/>
    <xf numFmtId="3" fontId="6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168" fontId="6" fillId="4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65" customWidth="1" min="2" max="2"/>
    <col width="14" customWidth="1" min="3" max="3"/>
    <col width="18" customWidth="1" min="4" max="4"/>
    <col width="65" customWidth="1" min="5" max="5"/>
    <col width="16" customWidth="1" min="6" max="6"/>
    <col width="14" customWidth="1" min="7" max="7"/>
  </cols>
  <sheetData>
    <row r="1" ht="42" customHeight="1">
      <c r="A1" s="1" t="inlineStr">
        <is>
          <t>INDAMART B2B MARKETPLACE — EXECUTIVE QA TESTING DASHBOARD</t>
        </is>
      </c>
    </row>
    <row r="3" ht="18" customHeight="1">
      <c r="B3" s="2" t="inlineStr">
        <is>
          <t>TOTAL TEST CASES</t>
        </is>
      </c>
      <c r="D3" s="2" t="inlineStr">
        <is>
          <t>EXECUTION RATE</t>
        </is>
      </c>
      <c r="F3" s="2" t="inlineStr">
        <is>
          <t>PASS RATE</t>
        </is>
      </c>
    </row>
    <row r="4" ht="34" customHeight="1">
      <c r="B4" s="3">
        <f>COUNTA('Test Cases'!A2:A121)</f>
        <v/>
      </c>
      <c r="D4" s="4">
        <f>Metrics!E11</f>
        <v/>
      </c>
      <c r="F4" s="5">
        <f>Metrics!E12</f>
        <v/>
      </c>
    </row>
    <row r="6" ht="26" customHeight="1">
      <c r="A6" s="6" t="inlineStr">
        <is>
          <t>1. PROJECT &amp; EXECUTIVE SCOPE DETAILS</t>
        </is>
      </c>
    </row>
    <row r="7" ht="22" customHeight="1">
      <c r="A7" s="7" t="inlineStr">
        <is>
          <t>Project Name</t>
        </is>
      </c>
      <c r="B7" s="8" t="inlineStr">
        <is>
          <t>IndiaMART B2B Marketplace &amp; Seller Ecosystem Comprehensive QA</t>
        </is>
      </c>
    </row>
    <row r="8" ht="22" customHeight="1">
      <c r="A8" s="7" t="inlineStr">
        <is>
          <t>Application Type</t>
        </is>
      </c>
      <c r="B8" s="8" t="inlineStr">
        <is>
          <t>Multi-Vendor B2B E-Commerce Marketplace</t>
        </is>
      </c>
    </row>
    <row r="9" ht="22" customHeight="1">
      <c r="A9" s="7" t="inlineStr">
        <is>
          <t>Testing Methodology</t>
        </is>
      </c>
      <c r="B9" s="8" t="inlineStr">
        <is>
          <t>Functional Verification, Integration Testing, Defect Tracking &amp; Math Metrics Analysis</t>
        </is>
      </c>
    </row>
    <row r="10" ht="22" customHeight="1">
      <c r="A10" s="7" t="inlineStr">
        <is>
          <t>Prepared By</t>
        </is>
      </c>
      <c r="B10" s="8" t="inlineStr">
        <is>
          <t>Senior QA Lead / QA Automation Architect</t>
        </is>
      </c>
    </row>
    <row r="11" ht="22" customHeight="1">
      <c r="A11" s="7" t="inlineStr">
        <is>
          <t>Execution Date</t>
        </is>
      </c>
      <c r="B11" s="8" t="inlineStr">
        <is>
          <t>September 24, 2026</t>
        </is>
      </c>
    </row>
    <row r="12" ht="22" customHeight="1">
      <c r="A12" s="7" t="inlineStr">
        <is>
          <t>Document Edition</t>
        </is>
      </c>
      <c r="B12" s="8" t="inlineStr">
        <is>
          <t>4.0 (Master Clarity &amp; Executive Edition)</t>
        </is>
      </c>
    </row>
    <row r="14" ht="26" customHeight="1">
      <c r="A14" s="6" t="inlineStr">
        <is>
          <t>2. WORKBOOK CLARITY &amp; TAB NAVIGATION GUIDE</t>
        </is>
      </c>
    </row>
    <row r="15" ht="24" customHeight="1">
      <c r="A15" s="9" t="inlineStr">
        <is>
          <t>Tab Name</t>
        </is>
      </c>
      <c r="B15" s="9" t="inlineStr">
        <is>
          <t>Purpose &amp; Description</t>
        </is>
      </c>
      <c r="E15" s="9" t="inlineStr">
        <is>
          <t>Key Elements / Highlights</t>
        </is>
      </c>
    </row>
    <row r="16" ht="22" customHeight="1">
      <c r="A16" s="10" t="inlineStr">
        <is>
          <t>Test Metrics Problems</t>
        </is>
      </c>
      <c r="B16" s="11" t="inlineStr">
        <is>
          <t>Step-by-step problem statements, formulas, and verified solutions for all 9 IndiaMART metrics exercises</t>
        </is>
      </c>
      <c r="C16" s="33" t="n"/>
      <c r="D16" s="34" t="n"/>
      <c r="E16" s="11" t="inlineStr">
        <is>
          <t>Problem 1 through 9: Requirement Coverage, Execution %, Pass/Fail Rate, Defect Density, Mean &amp; Median Latencies</t>
        </is>
      </c>
      <c r="F16" s="33" t="n"/>
      <c r="G16" s="34" t="n"/>
    </row>
    <row r="17" ht="22" customHeight="1">
      <c r="A17" s="10" t="inlineStr">
        <is>
          <t>Metrics</t>
        </is>
      </c>
      <c r="B17" s="11" t="inlineStr">
        <is>
          <t>Contains all QA math formulas, metrics evaluations, and defect distribution tables</t>
        </is>
      </c>
      <c r="C17" s="33" t="n"/>
      <c r="D17" s="34" t="n"/>
      <c r="E17" s="11" t="inlineStr">
        <is>
          <t>Test Coverage (100%), Pass Rate (98.3%), Defect Density (0.0125/KLOC)</t>
        </is>
      </c>
      <c r="F17" s="33" t="n"/>
      <c r="G17" s="34" t="n"/>
    </row>
    <row r="18" ht="22" customHeight="1">
      <c r="A18" s="10" t="inlineStr">
        <is>
          <t>Module Summary</t>
        </is>
      </c>
      <c r="B18" s="11" t="inlineStr">
        <is>
          <t>Summarizes test execution progress across all 10 core B2B modules</t>
        </is>
      </c>
      <c r="C18" s="33" t="n"/>
      <c r="D18" s="34" t="n"/>
      <c r="E18" s="11" t="inlineStr">
        <is>
          <t>TC counts, Pass/Fail counts, and Pass % breakdown per module</t>
        </is>
      </c>
      <c r="F18" s="33" t="n"/>
      <c r="G18" s="34" t="n"/>
    </row>
    <row r="19" ht="22" customHeight="1">
      <c r="A19" s="10" t="inlineStr">
        <is>
          <t>Test Cases</t>
        </is>
      </c>
      <c r="B19" s="11" t="inlineStr">
        <is>
          <t>Comprehensive log of all 120 executed test cases with steps and actual results</t>
        </is>
      </c>
      <c r="C19" s="33" t="n"/>
      <c r="D19" s="34" t="n"/>
      <c r="E19" s="11" t="inlineStr">
        <is>
          <t>118 Passed, 2 Failed (TC_039 &amp; TC_070) with clear status tags</t>
        </is>
      </c>
      <c r="F19" s="33" t="n"/>
      <c r="G19" s="34" t="n"/>
    </row>
    <row r="20" ht="22" customHeight="1">
      <c r="A20" s="10" t="inlineStr">
        <is>
          <t>Requirements</t>
        </is>
      </c>
      <c r="B20" s="11" t="inlineStr">
        <is>
          <t>Traceability matrix mapping functional requirements to executed test cases</t>
        </is>
      </c>
      <c r="C20" s="33" t="n"/>
      <c r="D20" s="34" t="n"/>
      <c r="E20" s="11" t="inlineStr">
        <is>
          <t>R01 through R14 mapping verification and coverage tracking</t>
        </is>
      </c>
      <c r="F20" s="33" t="n"/>
      <c r="G20" s="34" t="n"/>
    </row>
    <row r="21" ht="22" customHeight="1">
      <c r="A21" s="10" t="inlineStr">
        <is>
          <t>Defects</t>
        </is>
      </c>
      <c r="B21" s="11" t="inlineStr">
        <is>
          <t>Bug tracker logging open defects linked to failed test cases</t>
        </is>
      </c>
      <c r="C21" s="33" t="n"/>
      <c r="D21" s="34" t="n"/>
      <c r="E21" s="11" t="inlineStr">
        <is>
          <t>DEF-001 (Admin Moderation) &amp; DEF-002 (BuyLead Disputes) details</t>
        </is>
      </c>
      <c r="F21" s="33" t="n"/>
      <c r="G21" s="34" t="n"/>
    </row>
    <row r="22" ht="22" customHeight="1">
      <c r="A22" s="10" t="inlineStr">
        <is>
          <t>Response Times</t>
        </is>
      </c>
      <c r="B22" s="11" t="inlineStr">
        <is>
          <t>Performance page loading latency test sample measurements</t>
        </is>
      </c>
      <c r="C22" s="33" t="n"/>
      <c r="D22" s="34" t="n"/>
      <c r="E22" s="11" t="inlineStr">
        <is>
          <t>5 consecutive catalog loading tests feeding Mean and Median formulas</t>
        </is>
      </c>
      <c r="F22" s="33" t="n"/>
      <c r="G22" s="34" t="n"/>
    </row>
  </sheetData>
  <mergeCells count="31">
    <mergeCell ref="F4:G4"/>
    <mergeCell ref="A14:G14"/>
    <mergeCell ref="E19:G19"/>
    <mergeCell ref="B3:C3"/>
    <mergeCell ref="B8:G8"/>
    <mergeCell ref="B17:D17"/>
    <mergeCell ref="E15:G15"/>
    <mergeCell ref="F3:G3"/>
    <mergeCell ref="B10:G10"/>
    <mergeCell ref="B19:D19"/>
    <mergeCell ref="B9:G9"/>
    <mergeCell ref="B15:D15"/>
    <mergeCell ref="B20:D20"/>
    <mergeCell ref="E16:G16"/>
    <mergeCell ref="A1:G1"/>
    <mergeCell ref="E22:G22"/>
    <mergeCell ref="A6:G6"/>
    <mergeCell ref="E18:G18"/>
    <mergeCell ref="D4:E4"/>
    <mergeCell ref="E21:G21"/>
    <mergeCell ref="D3:E3"/>
    <mergeCell ref="B16:D16"/>
    <mergeCell ref="B7:G7"/>
    <mergeCell ref="B22:D22"/>
    <mergeCell ref="B18:D18"/>
    <mergeCell ref="E17:G17"/>
    <mergeCell ref="B12:G12"/>
    <mergeCell ref="B21:D21"/>
    <mergeCell ref="B4:C4"/>
    <mergeCell ref="E20:G2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0" customWidth="1" min="2" max="2"/>
    <col width="15" customWidth="1" min="3" max="3"/>
    <col width="15" customWidth="1" min="4" max="4"/>
  </cols>
  <sheetData>
    <row r="1" ht="40" customHeight="1">
      <c r="A1" s="1" t="inlineStr">
        <is>
          <t>INDAMART — TEST METRICS PROBLEMS &amp; STEP-BY-STEP CALCULATIONS</t>
        </is>
      </c>
    </row>
    <row r="3">
      <c r="A3" s="7" t="inlineStr">
        <is>
          <t>India MART – Test Metrics Problems and Answers</t>
        </is>
      </c>
    </row>
    <row r="5" ht="25" customHeight="1">
      <c r="A5" s="6" t="inlineStr">
        <is>
          <t>Problem 1: Requirement Test Coverage</t>
        </is>
      </c>
    </row>
    <row r="6">
      <c r="A6" s="12" t="inlineStr">
        <is>
          <t>India MART engineering team is releasing an updated GST Invoicing &amp; Lead Export Module with 400 total functional requirements. The QA team executed manual and automated tests for 356 requirements. Calculate the Test Coverage percentage.</t>
        </is>
      </c>
    </row>
    <row r="7">
      <c r="A7" s="35" t="inlineStr">
        <is>
          <t>Formula:</t>
        </is>
      </c>
      <c r="B7" s="8" t="inlineStr">
        <is>
          <t>Test Coverage = (Requirements Tested / Total Requirements) x 100</t>
        </is>
      </c>
    </row>
    <row r="8">
      <c r="A8" s="8" t="inlineStr">
        <is>
          <t>Requirements Tested</t>
        </is>
      </c>
      <c r="B8" s="36" t="n">
        <v>356</v>
      </c>
    </row>
    <row r="9">
      <c r="A9" s="8" t="inlineStr">
        <is>
          <t>Total Requirements</t>
        </is>
      </c>
      <c r="B9" s="36" t="n">
        <v>400</v>
      </c>
    </row>
    <row r="10">
      <c r="A10" s="7" t="inlineStr">
        <is>
          <t>Test Coverage =</t>
        </is>
      </c>
      <c r="B10" s="8">
        <f>B8/B9*100</f>
        <v/>
      </c>
      <c r="C10" s="37" t="inlineStr">
        <is>
          <t>%</t>
        </is>
      </c>
    </row>
    <row r="13" ht="25" customHeight="1">
      <c r="A13" s="6" t="inlineStr">
        <is>
          <t>Problem 2: Test Execution Percentage</t>
        </is>
      </c>
    </row>
    <row r="14">
      <c r="A14" s="8" t="inlineStr">
        <is>
          <t>During the testing cycle for the India MART Seller Mobile App (v12.0), a regression test suite of 1,200 test cases was created. By day 4, the QA team completed execution of 1,050 test cases. Calculate the Test Execution Percentage.</t>
        </is>
      </c>
    </row>
    <row r="15">
      <c r="A15" s="35" t="inlineStr">
        <is>
          <t>Formula:</t>
        </is>
      </c>
      <c r="B15" s="8" t="inlineStr">
        <is>
          <t>Test Execution % = (Executed Test Cases / Total Test Cases) x 100</t>
        </is>
      </c>
    </row>
    <row r="16">
      <c r="A16" s="8" t="inlineStr">
        <is>
          <t>Executed Test Cases</t>
        </is>
      </c>
      <c r="B16" s="36" t="n">
        <v>1050</v>
      </c>
    </row>
    <row r="17">
      <c r="A17" s="8" t="inlineStr">
        <is>
          <t>Total Test Cases</t>
        </is>
      </c>
      <c r="B17" s="36" t="n">
        <v>1200</v>
      </c>
    </row>
    <row r="18">
      <c r="A18" s="7" t="inlineStr">
        <is>
          <t>Test Execution % =</t>
        </is>
      </c>
      <c r="B18" s="8">
        <f>B16/B17*100</f>
        <v/>
      </c>
      <c r="C18" s="37" t="inlineStr">
        <is>
          <t>%</t>
        </is>
      </c>
    </row>
    <row r="21" ht="25" customHeight="1">
      <c r="A21" s="6" t="inlineStr">
        <is>
          <t>Problem 3: Pass Rate and Fail Rate</t>
        </is>
      </c>
    </row>
    <row r="22">
      <c r="A22" s="12" t="inlineStr">
        <is>
          <t>India MART executed 800 automated API test cases on its Seller Payment Gateway (UPI/Net Banking). Out of these, 712 passed and 88 failed due to timeout issues. Calculate the Pass Rate and Fail Rate.</t>
        </is>
      </c>
    </row>
    <row r="23">
      <c r="A23" s="35" t="inlineStr">
        <is>
          <t>Formulas:</t>
        </is>
      </c>
      <c r="B23" s="8" t="inlineStr">
        <is>
          <t>Pass Rate = (Passed / Executed) x 100   |   Fail Rate = (Failed / Executed) x 100</t>
        </is>
      </c>
    </row>
    <row r="24">
      <c r="A24" s="8" t="inlineStr">
        <is>
          <t>Passed Test Cases</t>
        </is>
      </c>
      <c r="B24" s="36" t="n">
        <v>712</v>
      </c>
    </row>
    <row r="25">
      <c r="A25" s="8" t="inlineStr">
        <is>
          <t>Failed Test Cases</t>
        </is>
      </c>
      <c r="B25" s="36" t="n">
        <v>88</v>
      </c>
    </row>
    <row r="26">
      <c r="A26" s="8" t="inlineStr">
        <is>
          <t>Executed Test Cases</t>
        </is>
      </c>
      <c r="B26" s="36" t="n">
        <v>800</v>
      </c>
    </row>
    <row r="27">
      <c r="A27" s="7" t="inlineStr">
        <is>
          <t>Pass Rate =</t>
        </is>
      </c>
      <c r="B27" s="8">
        <f>B24/B26*100</f>
        <v/>
      </c>
      <c r="C27" s="37" t="inlineStr">
        <is>
          <t>%</t>
        </is>
      </c>
    </row>
    <row r="28">
      <c r="A28" s="7" t="inlineStr">
        <is>
          <t>Fail Rate =</t>
        </is>
      </c>
      <c r="B28" s="8">
        <f>B25/B26*100</f>
        <v/>
      </c>
      <c r="C28" s="37" t="inlineStr">
        <is>
          <t>%</t>
        </is>
      </c>
    </row>
    <row r="31" ht="25" customHeight="1">
      <c r="A31" s="6" t="inlineStr">
        <is>
          <t>Problem 4: Defect Density</t>
        </is>
      </c>
    </row>
    <row r="32">
      <c r="A32" s="12" t="inlineStr">
        <is>
          <t>IndiaMART's Buyer Inquiry Matching Engine was refactored with 160,000 Lines of Code (LOC). System integration testing revealed 240 defects. Calculate the Defect Density per KLOC.</t>
        </is>
      </c>
    </row>
    <row r="33">
      <c r="A33" s="35" t="inlineStr">
        <is>
          <t>Formulas:</t>
        </is>
      </c>
      <c r="B33" s="8" t="inlineStr">
        <is>
          <t>KLOC = Total LOC / 1,000    |    Defect Density = Total Defects / KLOC</t>
        </is>
      </c>
    </row>
    <row r="34">
      <c r="A34" s="8" t="inlineStr">
        <is>
          <t>Total Lines of Code (LOC)</t>
        </is>
      </c>
      <c r="B34" s="36" t="n">
        <v>160000</v>
      </c>
    </row>
    <row r="35">
      <c r="A35" s="8" t="inlineStr">
        <is>
          <t>Total Defects</t>
        </is>
      </c>
      <c r="B35" s="36" t="n">
        <v>240</v>
      </c>
    </row>
    <row r="36">
      <c r="A36" s="7" t="inlineStr">
        <is>
          <t>KLOC =</t>
        </is>
      </c>
      <c r="B36" s="8">
        <f>B34/1000</f>
        <v/>
      </c>
      <c r="C36" s="37" t="inlineStr">
        <is>
          <t>KLOC</t>
        </is>
      </c>
    </row>
    <row r="37">
      <c r="A37" s="7" t="inlineStr">
        <is>
          <t>Defect Density =</t>
        </is>
      </c>
      <c r="B37" s="8">
        <f>B35/B36</f>
        <v/>
      </c>
      <c r="C37" s="37" t="inlineStr">
        <is>
          <t>defects/KLOC</t>
        </is>
      </c>
    </row>
    <row r="40" ht="25" customHeight="1">
      <c r="A40" s="6" t="inlineStr">
        <is>
          <t>Problem 5: Mean (Average Response Time)</t>
        </is>
      </c>
    </row>
    <row r="41">
      <c r="A41" s="8" t="inlineStr">
        <is>
          <t>Performance engineers test the response time of IndiaMART Search API across 6 consecutive requests. Recorded values: 180 ms, 210 ms, 195 ms, 205 ms, 220 ms, and 190 ms. Calculate the Mean response time.</t>
        </is>
      </c>
    </row>
    <row r="42">
      <c r="A42" s="35" t="inlineStr">
        <is>
          <t>Formula:</t>
        </is>
      </c>
      <c r="B42" s="8" t="inlineStr">
        <is>
          <t>Mean = Sum of Values / Total Number of Values</t>
        </is>
      </c>
    </row>
    <row r="43">
      <c r="A43" s="8" t="inlineStr">
        <is>
          <t>Response Time (ms)</t>
        </is>
      </c>
      <c r="B43" s="36" t="n">
        <v>180</v>
      </c>
    </row>
    <row r="44">
      <c r="A44" s="8" t="inlineStr">
        <is>
          <t>Response Time (ms)</t>
        </is>
      </c>
      <c r="B44" s="36" t="n">
        <v>210</v>
      </c>
    </row>
    <row r="45">
      <c r="A45" s="8" t="inlineStr">
        <is>
          <t>Response Time (ms)</t>
        </is>
      </c>
      <c r="B45" s="36" t="n">
        <v>195</v>
      </c>
    </row>
    <row r="46">
      <c r="A46" s="8" t="inlineStr">
        <is>
          <t>Response Time (ms)</t>
        </is>
      </c>
      <c r="B46" s="36" t="n">
        <v>205</v>
      </c>
    </row>
    <row r="47">
      <c r="A47" s="8" t="inlineStr">
        <is>
          <t>Response Time (ms)</t>
        </is>
      </c>
      <c r="B47" s="36" t="n">
        <v>220</v>
      </c>
    </row>
    <row r="48">
      <c r="A48" s="8" t="inlineStr">
        <is>
          <t>Response Time (ms)</t>
        </is>
      </c>
      <c r="B48" s="36" t="n">
        <v>190</v>
      </c>
    </row>
    <row r="49">
      <c r="A49" s="7" t="inlineStr">
        <is>
          <t>Mean Response Time =</t>
        </is>
      </c>
      <c r="B49" s="8">
        <f>AVERAGE(B43:B48)</f>
        <v/>
      </c>
      <c r="C49" s="37" t="inlineStr">
        <is>
          <t>ms</t>
        </is>
      </c>
    </row>
    <row r="52" ht="25" customHeight="1">
      <c r="A52" s="6" t="inlineStr">
        <is>
          <t>Problem 6: Median (Odd Sample Count)</t>
        </is>
      </c>
    </row>
    <row r="53">
      <c r="A53" s="8" t="inlineStr">
        <is>
          <t>Page loading time for IndiaMART's Supplier Product Catalog Page was recorded over 5 tests: 3.2 s, 1.8 s, 4.5 s, 2.1 s, and 2.8 s. Calculate the Median loading time.</t>
        </is>
      </c>
    </row>
    <row r="54">
      <c r="A54" s="35" t="inlineStr">
        <is>
          <t>Method:</t>
        </is>
      </c>
      <c r="B54" s="8" t="inlineStr">
        <is>
          <t>Sort the values in ascending order and select the middle value.</t>
        </is>
      </c>
    </row>
    <row r="55">
      <c r="A55" s="8" t="inlineStr">
        <is>
          <t>Page Load Time (s)</t>
        </is>
      </c>
      <c r="B55" s="38" t="n">
        <v>3.2</v>
      </c>
    </row>
    <row r="56">
      <c r="A56" s="8" t="inlineStr">
        <is>
          <t>Page Load Time (s)</t>
        </is>
      </c>
      <c r="B56" s="38" t="n">
        <v>1.8</v>
      </c>
    </row>
    <row r="57">
      <c r="A57" s="8" t="inlineStr">
        <is>
          <t>Page Load Time (s)</t>
        </is>
      </c>
      <c r="B57" s="38" t="n">
        <v>4.5</v>
      </c>
    </row>
    <row r="58">
      <c r="A58" s="8" t="inlineStr">
        <is>
          <t>Page Load Time (s)</t>
        </is>
      </c>
      <c r="B58" s="38" t="n">
        <v>2.1</v>
      </c>
    </row>
    <row r="59">
      <c r="A59" s="8" t="inlineStr">
        <is>
          <t>Page Load Time (s)</t>
        </is>
      </c>
      <c r="B59" s="38" t="n">
        <v>2.8</v>
      </c>
    </row>
    <row r="60">
      <c r="A60" s="7" t="inlineStr">
        <is>
          <t>Median Loading Time =</t>
        </is>
      </c>
      <c r="B60" s="8">
        <f>MEDIAN(B55:B59)</f>
        <v/>
      </c>
      <c r="C60" s="37" t="inlineStr">
        <is>
          <t>s</t>
        </is>
      </c>
    </row>
    <row r="63" ht="25" customHeight="1">
      <c r="A63" s="6" t="inlineStr">
        <is>
          <t>Problem 7: Median (Even Sample Count)</t>
        </is>
      </c>
    </row>
    <row r="64">
      <c r="A64" s="8" t="inlineStr">
        <is>
          <t>Testing the latency of IndiaMART's Lead Push Notification Server across 6 runs yielded: 45 ms, 60 ms, 52 ms, 80 ms, 48 ms, and 55 ms. Calculate the Median latency.</t>
        </is>
      </c>
    </row>
    <row r="65">
      <c r="A65" s="35" t="inlineStr">
        <is>
          <t>Formula:</t>
        </is>
      </c>
      <c r="B65" s="8" t="inlineStr">
        <is>
          <t>Median = (Middle Value 1 + Middle Value 2) / 2</t>
        </is>
      </c>
    </row>
    <row r="66">
      <c r="A66" s="8" t="inlineStr">
        <is>
          <t>Latency (ms)</t>
        </is>
      </c>
      <c r="B66" s="36" t="n">
        <v>45</v>
      </c>
    </row>
    <row r="67">
      <c r="A67" s="8" t="inlineStr">
        <is>
          <t>Latency (ms)</t>
        </is>
      </c>
      <c r="B67" s="36" t="n">
        <v>60</v>
      </c>
    </row>
    <row r="68">
      <c r="A68" s="8" t="inlineStr">
        <is>
          <t>Latency (ms)</t>
        </is>
      </c>
      <c r="B68" s="36" t="n">
        <v>52</v>
      </c>
    </row>
    <row r="69">
      <c r="A69" s="8" t="inlineStr">
        <is>
          <t>Latency (ms)</t>
        </is>
      </c>
      <c r="B69" s="36" t="n">
        <v>80</v>
      </c>
    </row>
    <row r="70">
      <c r="A70" s="8" t="inlineStr">
        <is>
          <t>Latency (ms)</t>
        </is>
      </c>
      <c r="B70" s="36" t="n">
        <v>48</v>
      </c>
    </row>
    <row r="71">
      <c r="A71" s="8" t="inlineStr">
        <is>
          <t>Latency (ms)</t>
        </is>
      </c>
      <c r="B71" s="36" t="n">
        <v>55</v>
      </c>
    </row>
    <row r="72">
      <c r="A72" s="7" t="inlineStr">
        <is>
          <t>Median Latency =</t>
        </is>
      </c>
      <c r="B72" s="8">
        <f>MEDIAN(B66:B71)</f>
        <v/>
      </c>
      <c r="C72" s="37" t="inlineStr">
        <is>
          <t>ms</t>
        </is>
      </c>
    </row>
    <row r="75" ht="25" customHeight="1">
      <c r="A75" s="6" t="inlineStr">
        <is>
          <t>Problem 8: Mean vs Median with Outliers</t>
        </is>
      </c>
    </row>
    <row r="76">
      <c r="A76" s="12" t="inlineStr">
        <is>
          <t>IndiaMART's CRM API response times under load were: 2 s, 2 s, 3 s, 3 s, and 25 s (due to a database server hang). Calculate both Mean and Median.</t>
        </is>
      </c>
    </row>
    <row r="77">
      <c r="A77" s="8" t="inlineStr">
        <is>
          <t>Response Time (s)</t>
        </is>
      </c>
      <c r="B77" s="36" t="n">
        <v>2</v>
      </c>
    </row>
    <row r="78">
      <c r="A78" s="8" t="inlineStr">
        <is>
          <t>Response Time (s)</t>
        </is>
      </c>
      <c r="B78" s="36" t="n">
        <v>2</v>
      </c>
    </row>
    <row r="79">
      <c r="A79" s="8" t="inlineStr">
        <is>
          <t>Response Time (s)</t>
        </is>
      </c>
      <c r="B79" s="36" t="n">
        <v>3</v>
      </c>
    </row>
    <row r="80">
      <c r="A80" s="8" t="inlineStr">
        <is>
          <t>Response Time (s)</t>
        </is>
      </c>
      <c r="B80" s="36" t="n">
        <v>3</v>
      </c>
    </row>
    <row r="81">
      <c r="A81" s="8" t="inlineStr">
        <is>
          <t>Response Time (s)</t>
        </is>
      </c>
      <c r="B81" s="36" t="n">
        <v>25</v>
      </c>
    </row>
    <row r="82">
      <c r="A82" s="7" t="inlineStr">
        <is>
          <t>Mean =</t>
        </is>
      </c>
      <c r="B82" s="8">
        <f>AVERAGE(B77:B81)</f>
        <v/>
      </c>
      <c r="C82" s="37" t="inlineStr">
        <is>
          <t>s</t>
        </is>
      </c>
    </row>
    <row r="83">
      <c r="A83" s="7" t="inlineStr">
        <is>
          <t>Median =</t>
        </is>
      </c>
      <c r="B83" s="8">
        <f>MEDIAN(B77:B81)</f>
        <v/>
      </c>
      <c r="C83" s="37" t="inlineStr">
        <is>
          <t>s</t>
        </is>
      </c>
    </row>
    <row r="84">
      <c r="A84" s="8" t="inlineStr">
        <is>
          <t>Note:</t>
        </is>
      </c>
      <c r="B84" s="8" t="inlineStr">
        <is>
          <t>The 25-second outlier increases the Mean, whereas the Median is less affected by the extreme value.</t>
        </is>
      </c>
    </row>
    <row r="87" ht="25" customHeight="1">
      <c r="A87" s="6" t="inlineStr">
        <is>
          <t>Problem 9: Combined End-to-End Test Metrics Exercise</t>
        </is>
      </c>
    </row>
    <row r="88">
      <c r="A88" s="12" t="inlineStr">
        <is>
          <t>IndiaMART QA team completed testing on the Annual Mega-Release.</t>
        </is>
      </c>
    </row>
    <row r="89">
      <c r="A89" s="8" t="inlineStr">
        <is>
          <t>Total Product Requirements</t>
        </is>
      </c>
      <c r="B89" s="36" t="n">
        <v>200</v>
      </c>
    </row>
    <row r="90">
      <c r="A90" s="8" t="inlineStr">
        <is>
          <t>Requirements Tested</t>
        </is>
      </c>
      <c r="B90" s="36" t="n">
        <v>180</v>
      </c>
    </row>
    <row r="91">
      <c r="A91" s="8" t="inlineStr">
        <is>
          <t>Total Test Cases Created</t>
        </is>
      </c>
      <c r="B91" s="36" t="n">
        <v>1000</v>
      </c>
    </row>
    <row r="92">
      <c r="A92" s="8" t="inlineStr">
        <is>
          <t>Test Cases Executed</t>
        </is>
      </c>
      <c r="B92" s="36" t="n">
        <v>900</v>
      </c>
    </row>
    <row r="93">
      <c r="A93" s="8" t="inlineStr">
        <is>
          <t>Test Cases Passed</t>
        </is>
      </c>
      <c r="B93" s="36" t="n">
        <v>810</v>
      </c>
    </row>
    <row r="94">
      <c r="A94" s="8" t="inlineStr">
        <is>
          <t>Test Cases Failed</t>
        </is>
      </c>
      <c r="B94" s="36" t="n">
        <v>90</v>
      </c>
    </row>
    <row r="96">
      <c r="A96" s="7" t="inlineStr">
        <is>
          <t>1. Test Coverage =</t>
        </is>
      </c>
      <c r="B96" s="8" t="inlineStr">
        <is>
          <t>(Requirements Tested / Total Requirements) x 100</t>
        </is>
      </c>
    </row>
    <row r="97">
      <c r="A97" s="7" t="inlineStr">
        <is>
          <t>Test Coverage =</t>
        </is>
      </c>
      <c r="B97" s="8">
        <f>B90/B89*100</f>
        <v/>
      </c>
      <c r="C97" s="37" t="inlineStr">
        <is>
          <t>%</t>
        </is>
      </c>
    </row>
    <row r="98">
      <c r="A98" s="7" t="inlineStr">
        <is>
          <t>2. Test Execution % =</t>
        </is>
      </c>
      <c r="B98" s="8" t="inlineStr">
        <is>
          <t>(Executed Test Cases / Total Test Cases) x 100</t>
        </is>
      </c>
    </row>
    <row r="99">
      <c r="A99" s="7" t="inlineStr">
        <is>
          <t>Test Execution % =</t>
        </is>
      </c>
      <c r="B99" s="8">
        <f>B92/B91*100</f>
        <v/>
      </c>
      <c r="C99" s="37" t="inlineStr">
        <is>
          <t>%</t>
        </is>
      </c>
    </row>
    <row r="100">
      <c r="A100" s="7" t="inlineStr">
        <is>
          <t>3. Pass Rate =</t>
        </is>
      </c>
      <c r="B100" s="8" t="inlineStr">
        <is>
          <t>(Passed Test Cases / Executed Test Cases) x 100</t>
        </is>
      </c>
    </row>
    <row r="101">
      <c r="A101" s="7" t="inlineStr">
        <is>
          <t>Pass Rate =</t>
        </is>
      </c>
      <c r="B101" s="8">
        <f>B93/B92*100</f>
        <v/>
      </c>
      <c r="C101" s="37" t="inlineStr">
        <is>
          <t>%</t>
        </is>
      </c>
    </row>
    <row r="102">
      <c r="A102" s="7" t="inlineStr">
        <is>
          <t>4. Fail Rate =</t>
        </is>
      </c>
      <c r="B102" s="8" t="inlineStr">
        <is>
          <t>(Failed Test Cases / Executed Test Cases) x 100</t>
        </is>
      </c>
    </row>
    <row r="103">
      <c r="A103" s="7" t="inlineStr">
        <is>
          <t>Fail Rate =</t>
        </is>
      </c>
      <c r="B103" s="8">
        <f>B94/B92*100</f>
        <v/>
      </c>
      <c r="C103" s="37" t="inlineStr">
        <is>
          <t>%</t>
        </is>
      </c>
    </row>
  </sheetData>
  <mergeCells count="10">
    <mergeCell ref="A1:D1"/>
    <mergeCell ref="A40:D40"/>
    <mergeCell ref="A75:D75"/>
    <mergeCell ref="A5:D5"/>
    <mergeCell ref="A31:D31"/>
    <mergeCell ref="A21:D21"/>
    <mergeCell ref="A52:D52"/>
    <mergeCell ref="A87:D87"/>
    <mergeCell ref="A63:D63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52" customWidth="1" min="2" max="2"/>
    <col width="65" customWidth="1" min="3" max="3"/>
    <col width="34" customWidth="1" min="4" max="4"/>
    <col width="36" customWidth="1" min="5" max="5"/>
    <col width="65" customWidth="1" min="6" max="6"/>
  </cols>
  <sheetData>
    <row r="1" ht="36" customHeight="1">
      <c r="A1" s="1" t="inlineStr">
        <is>
          <t>IndiaMART Marketplace — Manual Testing and Test Metrics Analysis</t>
        </is>
      </c>
    </row>
    <row r="2">
      <c r="A2" s="12" t="n"/>
    </row>
    <row r="4">
      <c r="A4" s="13" t="inlineStr">
        <is>
          <t>Input</t>
        </is>
      </c>
    </row>
    <row r="5">
      <c r="A5" s="7" t="inlineStr">
        <is>
          <t>Software size (LOC)</t>
        </is>
      </c>
      <c r="B5" s="14" t="n">
        <v>160000</v>
      </c>
      <c r="C5" t="inlineStr">
        <is>
          <t>Problem statement LOC for Buyer Inquiry Matching Engine (160,000 LOC).</t>
        </is>
      </c>
    </row>
    <row r="6">
      <c r="A6" s="7" t="inlineStr">
        <is>
          <t>KLOC</t>
        </is>
      </c>
      <c r="B6" s="15">
        <f>B5/1000</f>
        <v/>
      </c>
    </row>
    <row r="8">
      <c r="A8" s="13" t="inlineStr">
        <is>
          <t>Metrics and evaluations</t>
        </is>
      </c>
    </row>
    <row r="9">
      <c r="A9" s="9" t="inlineStr">
        <is>
          <t>Metric</t>
        </is>
      </c>
      <c r="B9" s="9" t="inlineStr">
        <is>
          <t>Formula</t>
        </is>
      </c>
      <c r="C9" s="9" t="inlineStr">
        <is>
          <t>Value 1</t>
        </is>
      </c>
      <c r="D9" s="9" t="inlineStr">
        <is>
          <t>Value 2</t>
        </is>
      </c>
      <c r="E9" s="9" t="inlineStr">
        <is>
          <t>Result</t>
        </is>
      </c>
      <c r="F9" s="9" t="inlineStr">
        <is>
          <t>Evaluation &amp; Clarity Explanation</t>
        </is>
      </c>
    </row>
    <row r="10">
      <c r="A10" s="10" t="inlineStr">
        <is>
          <t>1. Test Coverage</t>
        </is>
      </c>
      <c r="B10" s="11" t="inlineStr">
        <is>
          <t>(Requirements tested / Total requirements) x 100</t>
        </is>
      </c>
      <c r="C10" s="16">
        <f>COUNTIF(Requirements!F2:F15, "Yes")</f>
        <v/>
      </c>
      <c r="D10" s="16">
        <f>COUNTA(Requirements!A2:A15)</f>
        <v/>
      </c>
      <c r="E10" s="17">
        <f>C10/D10</f>
        <v/>
      </c>
      <c r="F10" s="11" t="inlineStr">
        <is>
          <t>100% of the 14 mapped requirements are tested by at least one test case.</t>
        </is>
      </c>
    </row>
    <row r="11">
      <c r="A11" s="10" t="inlineStr">
        <is>
          <t>2. Test Execution %</t>
        </is>
      </c>
      <c r="B11" s="11" t="inlineStr">
        <is>
          <t>(Executed / Total test cases) x 100</t>
        </is>
      </c>
      <c r="C11" s="16">
        <f>COUNTA('Test Cases'!F2:F121)</f>
        <v/>
      </c>
      <c r="D11" s="16">
        <f>COUNTA('Test Cases'!A2:A121)</f>
        <v/>
      </c>
      <c r="E11" s="17">
        <f>C11/D11</f>
        <v/>
      </c>
      <c r="F11" s="11" t="inlineStr">
        <is>
          <t>All 120 planned regression &amp; functional test cases were executed.</t>
        </is>
      </c>
    </row>
    <row r="12">
      <c r="A12" s="10" t="inlineStr">
        <is>
          <t>3. Pass Rate</t>
        </is>
      </c>
      <c r="B12" s="11" t="inlineStr">
        <is>
          <t>(Passed / Executed) x 100</t>
        </is>
      </c>
      <c r="C12" s="16">
        <f>COUNTIF('Test Cases'!F2:F121, "Pass")</f>
        <v/>
      </c>
      <c r="D12" s="16">
        <f>COUNTA('Test Cases'!F2:F121)</f>
        <v/>
      </c>
      <c r="E12" s="17">
        <f>C12/D12</f>
        <v/>
      </c>
      <c r="F12" s="11" t="inlineStr">
        <is>
          <t>118 out of 120 executed test cases passed successfully (98.33%).</t>
        </is>
      </c>
    </row>
    <row r="13">
      <c r="A13" s="10" t="inlineStr">
        <is>
          <t>4. Fail Rate</t>
        </is>
      </c>
      <c r="B13" s="11" t="inlineStr">
        <is>
          <t>(Failed / Executed) x 100</t>
        </is>
      </c>
      <c r="C13" s="16">
        <f>COUNTIF('Test Cases'!F2:F121, "Fail")</f>
        <v/>
      </c>
      <c r="D13" s="16">
        <f>COUNTA('Test Cases'!F2:F121)</f>
        <v/>
      </c>
      <c r="E13" s="17">
        <f>C13/D13</f>
        <v/>
      </c>
      <c r="F13" s="11" t="inlineStr">
        <is>
          <t>2 out of 120 test cases failed (1.67%) due to moderation and lead refund defects.</t>
        </is>
      </c>
    </row>
    <row r="14">
      <c r="A14" s="10" t="inlineStr">
        <is>
          <t>5. Defect Density</t>
        </is>
      </c>
      <c r="B14" s="11" t="inlineStr">
        <is>
          <t>Unique defects / KLOC</t>
        </is>
      </c>
      <c r="C14" s="16">
        <f>COUNTA(Defects!A2:A3)</f>
        <v/>
      </c>
      <c r="D14" s="16">
        <f>B6</f>
        <v/>
      </c>
      <c r="E14" s="18">
        <f>C14/D14</f>
        <v/>
      </c>
      <c r="F14" s="11" t="inlineStr">
        <is>
          <t>Defect density is 0.0125 defects per KLOC (2 defects across 160 KLOC).</t>
        </is>
      </c>
    </row>
    <row r="15">
      <c r="A15" s="10" t="inlineStr">
        <is>
          <t>6. Mean (page loading)</t>
        </is>
      </c>
      <c r="B15" s="11" t="inlineStr">
        <is>
          <t>Sum of values / Number of values</t>
        </is>
      </c>
      <c r="C15" s="16">
        <f>SUM('Response Times'!B2:B6)</f>
        <v/>
      </c>
      <c r="D15" s="16">
        <f>COUNT('Response Times'!B2:B6)</f>
        <v/>
      </c>
      <c r="E15" s="19">
        <f>AVERAGE('Response Times'!B2:B6)</f>
        <v/>
      </c>
      <c r="F15" s="11" t="inlineStr">
        <is>
          <t>The average loading time for Supplier Product Catalog Page across 5 runs.</t>
        </is>
      </c>
    </row>
    <row r="16">
      <c r="A16" s="10" t="inlineStr">
        <is>
          <t>7. Median (page loading)</t>
        </is>
      </c>
      <c r="B16" s="11" t="inlineStr">
        <is>
          <t>Middle value of sorted data</t>
        </is>
      </c>
      <c r="C16" s="16" t="inlineStr">
        <is>
          <t>Sorted: 1.8, 2.1, 2.8, 3.2, 4.5</t>
        </is>
      </c>
      <c r="D16" s="16">
        <f>COUNT('Response Times'!B2:B6)</f>
        <v/>
      </c>
      <c r="E16" s="19">
        <f>MEDIAN('Response Times'!B2:B6)</f>
        <v/>
      </c>
      <c r="F16" s="11" t="inlineStr">
        <is>
          <t>The middle catalog page loading time is 2.80 seconds (3rd sample).</t>
        </is>
      </c>
    </row>
    <row r="17">
      <c r="A17" s="10" t="inlineStr">
        <is>
          <t>8. Mean vs Median</t>
        </is>
      </c>
      <c r="B17" s="11" t="inlineStr">
        <is>
          <t>Mean - Median</t>
        </is>
      </c>
      <c r="C17" s="16">
        <f>E15</f>
        <v/>
      </c>
      <c r="D17" s="16">
        <f>E16</f>
        <v/>
      </c>
      <c r="E17" s="19">
        <f>E15-E16</f>
        <v/>
      </c>
      <c r="F17" s="11" t="inlineStr">
        <is>
          <t>Mean (2.88s) is higher than Median (2.80s) due to a 4.5s peak load outlier.</t>
        </is>
      </c>
    </row>
    <row r="18">
      <c r="A18" s="10" t="inlineStr">
        <is>
          <t>9. Critical Defect %</t>
        </is>
      </c>
      <c r="B18" s="11" t="inlineStr">
        <is>
          <t>(Critical defects / Total defects) x 100</t>
        </is>
      </c>
      <c r="C18" s="16">
        <f>COUNTIF(Defects!E2:E3, "High")</f>
        <v/>
      </c>
      <c r="D18" s="16">
        <f>COUNTA(Defects!A2:A3)</f>
        <v/>
      </c>
      <c r="E18" s="17">
        <f>C18/D18</f>
        <v/>
      </c>
      <c r="F18" s="11" t="inlineStr">
        <is>
          <t>All 2 logged defects are High severity and must be remediated prior to release.</t>
        </is>
      </c>
    </row>
    <row r="20">
      <c r="A20" s="13" t="inlineStr">
        <is>
          <t>10. Defect Distribution</t>
        </is>
      </c>
    </row>
    <row r="21">
      <c r="A21" s="9" t="inlineStr">
        <is>
          <t>Severity</t>
        </is>
      </c>
      <c r="B21" s="9" t="inlineStr">
        <is>
          <t>Calculation</t>
        </is>
      </c>
      <c r="C21" s="9" t="inlineStr">
        <is>
          <t>Defects</t>
        </is>
      </c>
      <c r="D21" s="9" t="inlineStr">
        <is>
          <t>Total defects</t>
        </is>
      </c>
      <c r="E21" s="9" t="inlineStr">
        <is>
          <t>Distribution</t>
        </is>
      </c>
      <c r="F21" s="9" t="inlineStr">
        <is>
          <t>Evaluation &amp; Action Required</t>
        </is>
      </c>
    </row>
    <row r="22">
      <c r="A22" s="11" t="inlineStr">
        <is>
          <t>Critical</t>
        </is>
      </c>
      <c r="B22" s="11">
        <f>COUNTIF(Defects!E2:E3, "Critical")</f>
        <v/>
      </c>
      <c r="C22" s="11">
        <f>COUNTIF(Defects!E2:E3, "Critical")</f>
        <v/>
      </c>
      <c r="D22" s="11">
        <f>COUNTA(Defects!A2:A3)</f>
        <v/>
      </c>
      <c r="E22" s="20">
        <f>C22/D22</f>
        <v/>
      </c>
      <c r="F22" s="11" t="inlineStr">
        <is>
          <t>No critical blockers reported.</t>
        </is>
      </c>
    </row>
    <row r="23">
      <c r="A23" s="11" t="inlineStr">
        <is>
          <t>High</t>
        </is>
      </c>
      <c r="B23" s="11">
        <f>COUNTIF(Defects!E2:E3, "High")</f>
        <v/>
      </c>
      <c r="C23" s="11">
        <f>COUNTIF(Defects!E2:E3, "High")</f>
        <v/>
      </c>
      <c r="D23" s="11">
        <f>COUNTA(Defects!A2:A3)</f>
        <v/>
      </c>
      <c r="E23" s="20">
        <f>C23/D23</f>
        <v/>
      </c>
      <c r="F23" s="11" t="inlineStr">
        <is>
          <t>2 High severity defects (100% of open bugs). Remediation required.</t>
        </is>
      </c>
    </row>
    <row r="24">
      <c r="A24" s="11" t="inlineStr">
        <is>
          <t>Medium</t>
        </is>
      </c>
      <c r="B24" s="11">
        <f>COUNTIF(Defects!E2:E3, "Medium")</f>
        <v/>
      </c>
      <c r="C24" s="11">
        <f>COUNTIF(Defects!E2:E3, "Medium")</f>
        <v/>
      </c>
      <c r="D24" s="11">
        <f>COUNTA(Defects!A2:A3)</f>
        <v/>
      </c>
      <c r="E24" s="20">
        <f>C24/D24</f>
        <v/>
      </c>
      <c r="F24" s="11" t="inlineStr">
        <is>
          <t>None reported.</t>
        </is>
      </c>
    </row>
    <row r="25">
      <c r="A25" s="11" t="inlineStr">
        <is>
          <t>Low</t>
        </is>
      </c>
      <c r="B25" s="11">
        <f>COUNTIF(Defects!E2:E3, "Low")</f>
        <v/>
      </c>
      <c r="C25" s="11">
        <f>COUNTIF(Defects!E2:E3, "Low")</f>
        <v/>
      </c>
      <c r="D25" s="11">
        <f>COUNTA(Defects!A2:A3)</f>
        <v/>
      </c>
      <c r="E25" s="20">
        <f>C25/D25</f>
        <v/>
      </c>
      <c r="F25" s="11" t="inlineStr">
        <is>
          <t>None reported.</t>
        </is>
      </c>
    </row>
    <row r="26">
      <c r="A26" s="10" t="inlineStr">
        <is>
          <t>Total</t>
        </is>
      </c>
      <c r="B26" s="11" t="inlineStr">
        <is>
          <t>-</t>
        </is>
      </c>
      <c r="C26" s="11">
        <f>SUM(C22:C25)</f>
        <v/>
      </c>
      <c r="D26" s="11">
        <f>C26/D26</f>
        <v/>
      </c>
      <c r="E26" s="21">
        <f>C26/D26</f>
        <v/>
      </c>
      <c r="F26" s="11" t="inlineStr">
        <is>
          <t>2 Total Open Defects</t>
        </is>
      </c>
    </row>
    <row r="28">
      <c r="A28" s="13" t="inlineStr">
        <is>
          <t>11. Final Metrics Summary</t>
        </is>
      </c>
    </row>
    <row r="29">
      <c r="A29" s="22" t="inlineStr">
        <is>
          <t>Metric</t>
        </is>
      </c>
      <c r="B29" s="22" t="inlineStr">
        <is>
          <t>Result</t>
        </is>
      </c>
    </row>
    <row r="30">
      <c r="A30" s="10" t="inlineStr">
        <is>
          <t>Test Coverage</t>
        </is>
      </c>
      <c r="B30" s="21">
        <f>E10</f>
        <v/>
      </c>
    </row>
    <row r="31">
      <c r="A31" s="10" t="inlineStr">
        <is>
          <t>Test Execution %</t>
        </is>
      </c>
      <c r="B31" s="21">
        <f>E11</f>
        <v/>
      </c>
    </row>
    <row r="32">
      <c r="A32" s="10" t="inlineStr">
        <is>
          <t>Pass Rate</t>
        </is>
      </c>
      <c r="B32" s="21">
        <f>E12</f>
        <v/>
      </c>
    </row>
    <row r="33">
      <c r="A33" s="10" t="inlineStr">
        <is>
          <t>Fail Rate</t>
        </is>
      </c>
      <c r="B33" s="21">
        <f>E13</f>
        <v/>
      </c>
    </row>
    <row r="34">
      <c r="A34" s="10" t="inlineStr">
        <is>
          <t>Unique Defects</t>
        </is>
      </c>
      <c r="B34" s="23">
        <f>COUNTA(Defects!A2:A3)</f>
        <v/>
      </c>
    </row>
    <row r="35">
      <c r="A35" s="10" t="inlineStr">
        <is>
          <t>Defect Density</t>
        </is>
      </c>
      <c r="B35" s="24">
        <f>E14</f>
        <v/>
      </c>
    </row>
    <row r="36">
      <c r="A36" s="10" t="inlineStr">
        <is>
          <t>Mean Page Loading Time</t>
        </is>
      </c>
      <c r="B36" s="25">
        <f>E15</f>
        <v/>
      </c>
    </row>
    <row r="37">
      <c r="A37" s="10" t="inlineStr">
        <is>
          <t>Median Page Loading Time</t>
        </is>
      </c>
      <c r="B37" s="25">
        <f>E16</f>
        <v/>
      </c>
    </row>
    <row r="38">
      <c r="A38" s="10" t="inlineStr">
        <is>
          <t>Critical Defect %</t>
        </is>
      </c>
      <c r="B38" s="21">
        <f>E18</f>
        <v/>
      </c>
    </row>
    <row r="39">
      <c r="A39" s="10" t="inlineStr">
        <is>
          <t>High Severity Defects</t>
        </is>
      </c>
      <c r="B39" s="23">
        <f>C23</f>
        <v/>
      </c>
    </row>
    <row r="41">
      <c r="A41" s="39" t="n"/>
    </row>
    <row r="42">
      <c r="A42" s="26" t="n"/>
    </row>
  </sheetData>
  <mergeCells count="6">
    <mergeCell ref="A2:F2"/>
    <mergeCell ref="A1:F1"/>
    <mergeCell ref="A28:B28"/>
    <mergeCell ref="A8:F8"/>
    <mergeCell ref="A4:F4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62" customWidth="1" min="3" max="3"/>
    <col width="62" customWidth="1" min="4" max="4"/>
    <col width="21" customWidth="1" min="5" max="5"/>
    <col width="15" customWidth="1" min="6" max="6"/>
  </cols>
  <sheetData>
    <row r="1">
      <c r="A1" s="9" t="inlineStr">
        <is>
          <t>Module ID &amp; Description</t>
        </is>
      </c>
      <c r="B1" s="9" t="inlineStr">
        <is>
          <t>Total TCs</t>
        </is>
      </c>
      <c r="C1" s="9" t="inlineStr">
        <is>
          <t>Passed TCs</t>
        </is>
      </c>
      <c r="D1" s="9" t="inlineStr">
        <is>
          <t>Failed TCs</t>
        </is>
      </c>
      <c r="E1" s="9" t="inlineStr">
        <is>
          <t>Blocked / Not Run</t>
        </is>
      </c>
      <c r="F1" s="9" t="inlineStr">
        <is>
          <t>Pass Rate %</t>
        </is>
      </c>
    </row>
    <row r="2">
      <c r="A2" s="10" t="inlineStr">
        <is>
          <t>1. Seller Onboarding &amp; KYC</t>
        </is>
      </c>
      <c r="B2" s="16">
        <f>COUNTIF('Test Cases'!B:B, A2)</f>
        <v/>
      </c>
      <c r="C2" s="16">
        <f>COUNTIFS('Test Cases'!B:B, A2, 'Test Cases'!F:F, "Pass")</f>
        <v/>
      </c>
      <c r="D2" s="16">
        <f>COUNTIFS('Test Cases'!B:B, A2, 'Test Cases'!F:F, "Fail")</f>
        <v/>
      </c>
      <c r="E2" s="16" t="n">
        <v>0</v>
      </c>
      <c r="F2" s="17">
        <f>C2/B2</f>
        <v/>
      </c>
    </row>
    <row r="3">
      <c r="A3" s="10" t="inlineStr">
        <is>
          <t>2. Seller Profile &amp; Business Settings</t>
        </is>
      </c>
      <c r="B3" s="16">
        <f>COUNTIF('Test Cases'!B:B, A3)</f>
        <v/>
      </c>
      <c r="C3" s="16">
        <f>COUNTIFS('Test Cases'!B:B, A3, 'Test Cases'!F:F, "Pass")</f>
        <v/>
      </c>
      <c r="D3" s="16">
        <f>COUNTIFS('Test Cases'!B:B, A3, 'Test Cases'!F:F, "Fail")</f>
        <v/>
      </c>
      <c r="E3" s="16" t="n">
        <v>0</v>
      </c>
      <c r="F3" s="17">
        <f>C3/B3</f>
        <v/>
      </c>
    </row>
    <row r="4">
      <c r="A4" s="10" t="inlineStr">
        <is>
          <t>3. Catalog &amp; Product Management</t>
        </is>
      </c>
      <c r="B4" s="16">
        <f>COUNTIF('Test Cases'!B:B, A4)</f>
        <v/>
      </c>
      <c r="C4" s="16">
        <f>COUNTIFS('Test Cases'!B:B, A4, 'Test Cases'!F:F, "Pass")</f>
        <v/>
      </c>
      <c r="D4" s="16">
        <f>COUNTIFS('Test Cases'!B:B, A4, 'Test Cases'!F:F, "Fail")</f>
        <v/>
      </c>
      <c r="E4" s="16" t="n">
        <v>0</v>
      </c>
      <c r="F4" s="17">
        <f>C4/B4</f>
        <v/>
      </c>
    </row>
    <row r="5">
      <c r="A5" s="10" t="inlineStr">
        <is>
          <t>4. Search, Filters &amp; RFQ Quotes</t>
        </is>
      </c>
      <c r="B5" s="16">
        <f>COUNTIF('Test Cases'!B:B, A5)</f>
        <v/>
      </c>
      <c r="C5" s="16">
        <f>COUNTIFS('Test Cases'!B:B, A5, 'Test Cases'!F:F, "Pass")</f>
        <v/>
      </c>
      <c r="D5" s="16">
        <f>COUNTIFS('Test Cases'!B:B, A5, 'Test Cases'!F:F, "Fail")</f>
        <v/>
      </c>
      <c r="E5" s="16" t="n">
        <v>0</v>
      </c>
      <c r="F5" s="17">
        <f>C5/B5</f>
        <v/>
      </c>
    </row>
    <row r="6">
      <c r="A6" s="10" t="inlineStr">
        <is>
          <t>5. Lead Management &amp; CRM</t>
        </is>
      </c>
      <c r="B6" s="16">
        <f>COUNTIF('Test Cases'!B:B, A6)</f>
        <v/>
      </c>
      <c r="C6" s="16">
        <f>COUNTIFS('Test Cases'!B:B, A6, 'Test Cases'!F:F, "Pass")</f>
        <v/>
      </c>
      <c r="D6" s="16">
        <f>COUNTIFS('Test Cases'!B:B, A6, 'Test Cases'!F:F, "Fail")</f>
        <v/>
      </c>
      <c r="E6" s="16" t="n">
        <v>0</v>
      </c>
      <c r="F6" s="17">
        <f>C6/B6</f>
        <v/>
      </c>
    </row>
    <row r="7">
      <c r="A7" s="10" t="inlineStr">
        <is>
          <t>6. Payments, Escrow &amp; Invoicing</t>
        </is>
      </c>
      <c r="B7" s="16">
        <f>COUNTIF('Test Cases'!B:B, A7)</f>
        <v/>
      </c>
      <c r="C7" s="16">
        <f>COUNTIFS('Test Cases'!B:B, A7, 'Test Cases'!F:F, "Pass")</f>
        <v/>
      </c>
      <c r="D7" s="16">
        <f>COUNTIFS('Test Cases'!B:B, A7, 'Test Cases'!F:F, "Fail")</f>
        <v/>
      </c>
      <c r="E7" s="16" t="n">
        <v>0</v>
      </c>
      <c r="F7" s="17">
        <f>C7/B7</f>
        <v/>
      </c>
    </row>
    <row r="8">
      <c r="A8" s="10" t="inlineStr">
        <is>
          <t>7. Mobile App &amp; Real-Time Push</t>
        </is>
      </c>
      <c r="B8" s="16">
        <f>COUNTIF('Test Cases'!B:B, A8)</f>
        <v/>
      </c>
      <c r="C8" s="16">
        <f>COUNTIFS('Test Cases'!B:B, A8, 'Test Cases'!F:F, "Pass")</f>
        <v/>
      </c>
      <c r="D8" s="16">
        <f>COUNTIFS('Test Cases'!B:B, A8, 'Test Cases'!F:F, "Fail")</f>
        <v/>
      </c>
      <c r="E8" s="16" t="n">
        <v>0</v>
      </c>
      <c r="F8" s="17">
        <f>C8/B8</f>
        <v/>
      </c>
    </row>
    <row r="9">
      <c r="A9" s="10" t="inlineStr">
        <is>
          <t>8. Security, Session &amp; Compliance</t>
        </is>
      </c>
      <c r="B9" s="16">
        <f>COUNTIF('Test Cases'!B:B, A9)</f>
        <v/>
      </c>
      <c r="C9" s="16">
        <f>COUNTIFS('Test Cases'!B:B, A9, 'Test Cases'!F:F, "Pass")</f>
        <v/>
      </c>
      <c r="D9" s="16">
        <f>COUNTIFS('Test Cases'!B:B, A9, 'Test Cases'!F:F, "Fail")</f>
        <v/>
      </c>
      <c r="E9" s="16" t="n">
        <v>0</v>
      </c>
      <c r="F9" s="17">
        <f>C9/B9</f>
        <v/>
      </c>
    </row>
    <row r="10">
      <c r="A10" s="10" t="inlineStr">
        <is>
          <t>9. Analytics &amp; Paid Subscriptions</t>
        </is>
      </c>
      <c r="B10" s="16">
        <f>COUNTIF('Test Cases'!B:B, A10)</f>
        <v/>
      </c>
      <c r="C10" s="16">
        <f>COUNTIFS('Test Cases'!B:B, A10, 'Test Cases'!F:F, "Pass")</f>
        <v/>
      </c>
      <c r="D10" s="16">
        <f>COUNTIFS('Test Cases'!B:B, A10, 'Test Cases'!F:F, "Fail")</f>
        <v/>
      </c>
      <c r="E10" s="16" t="n">
        <v>0</v>
      </c>
      <c r="F10" s="17">
        <f>C10/B10</f>
        <v/>
      </c>
    </row>
    <row r="11">
      <c r="A11" s="10" t="inlineStr">
        <is>
          <t>10. Platform, UI &amp; Performance</t>
        </is>
      </c>
      <c r="B11" s="16">
        <f>COUNTIF('Test Cases'!B:B, A11)</f>
        <v/>
      </c>
      <c r="C11" s="16">
        <f>COUNTIFS('Test Cases'!B:B, A11, 'Test Cases'!F:F, "Pass")</f>
        <v/>
      </c>
      <c r="D11" s="16">
        <f>COUNTIFS('Test Cases'!B:B, A11, 'Test Cases'!F:F, "Fail")</f>
        <v/>
      </c>
      <c r="E11" s="16" t="n">
        <v>0</v>
      </c>
      <c r="F11" s="17">
        <f>C11/B11</f>
        <v/>
      </c>
    </row>
    <row r="12">
      <c r="A12" s="10" t="inlineStr">
        <is>
          <t>Total Summary</t>
        </is>
      </c>
      <c r="B12" s="10">
        <f>SUM(B2:B11)</f>
        <v/>
      </c>
      <c r="C12" s="10">
        <f>SUM(C2:C11)</f>
        <v/>
      </c>
      <c r="D12" s="10">
        <f>SUM(D2:D11)</f>
        <v/>
      </c>
      <c r="E12" s="10">
        <f>SUM(E2:E11)</f>
        <v/>
      </c>
      <c r="F12" s="21">
        <f>C12/B12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65" customWidth="1" min="4" max="4"/>
    <col width="65" customWidth="1" min="5" max="5"/>
    <col width="37" customWidth="1" min="6" max="6"/>
    <col width="14" customWidth="1" min="7" max="7"/>
    <col width="20" customWidth="1" min="8" max="8"/>
  </cols>
  <sheetData>
    <row r="1">
      <c r="A1" s="9" t="inlineStr">
        <is>
          <t>TC ID</t>
        </is>
      </c>
      <c r="B1" s="9" t="inlineStr">
        <is>
          <t>Module Name</t>
        </is>
      </c>
      <c r="C1" s="9" t="inlineStr">
        <is>
          <t>Req ID</t>
        </is>
      </c>
      <c r="D1" s="9" t="inlineStr">
        <is>
          <t>Test Case Scenario</t>
        </is>
      </c>
      <c r="E1" s="9" t="inlineStr">
        <is>
          <t>Expected Result</t>
        </is>
      </c>
      <c r="F1" s="9" t="inlineStr">
        <is>
          <t>Actual Result</t>
        </is>
      </c>
      <c r="G1" s="9" t="inlineStr">
        <is>
          <t>Status</t>
        </is>
      </c>
      <c r="H1" s="9" t="inlineStr">
        <is>
          <t>Linked Defect ID</t>
        </is>
      </c>
    </row>
    <row r="2">
      <c r="A2" s="27" t="inlineStr">
        <is>
          <t>TC_001</t>
        </is>
      </c>
      <c r="B2" s="27" t="inlineStr">
        <is>
          <t>1. Seller Onboarding &amp; KYC</t>
        </is>
      </c>
      <c r="C2" s="27" t="inlineStr">
        <is>
          <t>R01</t>
        </is>
      </c>
      <c r="D2" s="27" t="inlineStr">
        <is>
          <t>Register seller with valid Indian mobile number</t>
        </is>
      </c>
      <c r="E2" s="27" t="inlineStr">
        <is>
          <t>Account created; redirected to seller setup wizard.</t>
        </is>
      </c>
      <c r="F2" s="27" t="inlineStr">
        <is>
          <t>As expected</t>
        </is>
      </c>
      <c r="G2" s="28" t="inlineStr">
        <is>
          <t>Pass</t>
        </is>
      </c>
      <c r="H2" s="27" t="inlineStr"/>
    </row>
    <row r="3">
      <c r="A3" s="29" t="inlineStr">
        <is>
          <t>TC_002</t>
        </is>
      </c>
      <c r="B3" s="29" t="inlineStr">
        <is>
          <t>1. Seller Onboarding &amp; KYC</t>
        </is>
      </c>
      <c r="C3" s="29" t="inlineStr">
        <is>
          <t>R01</t>
        </is>
      </c>
      <c r="D3" s="29" t="inlineStr">
        <is>
          <t>Register seller with invalid mobile number</t>
        </is>
      </c>
      <c r="E3" s="29" t="inlineStr">
        <is>
          <t>Error: "Please enter a valid 10-digit mobile number".</t>
        </is>
      </c>
      <c r="F3" s="29" t="inlineStr">
        <is>
          <t>As expected</t>
        </is>
      </c>
      <c r="G3" s="28" t="inlineStr">
        <is>
          <t>Pass</t>
        </is>
      </c>
      <c r="H3" s="29" t="inlineStr"/>
    </row>
    <row r="4">
      <c r="A4" s="27" t="inlineStr">
        <is>
          <t>TC_003</t>
        </is>
      </c>
      <c r="B4" s="27" t="inlineStr">
        <is>
          <t>1. Seller Onboarding &amp; KYC</t>
        </is>
      </c>
      <c r="C4" s="27" t="inlineStr">
        <is>
          <t>R01</t>
        </is>
      </c>
      <c r="D4" s="27" t="inlineStr">
        <is>
          <t>Resend OTP limit verification</t>
        </is>
      </c>
      <c r="E4" s="27" t="inlineStr">
        <is>
          <t>System blocks further OTP requests for 15 minutes.</t>
        </is>
      </c>
      <c r="F4" s="27" t="inlineStr">
        <is>
          <t>As expected</t>
        </is>
      </c>
      <c r="G4" s="28" t="inlineStr">
        <is>
          <t>Pass</t>
        </is>
      </c>
      <c r="H4" s="27" t="inlineStr"/>
    </row>
    <row r="5">
      <c r="A5" s="29" t="inlineStr">
        <is>
          <t>TC_004</t>
        </is>
      </c>
      <c r="B5" s="29" t="inlineStr">
        <is>
          <t>1. Seller Onboarding &amp; KYC</t>
        </is>
      </c>
      <c r="C5" s="29" t="inlineStr">
        <is>
          <t>R01</t>
        </is>
      </c>
      <c r="D5" s="29" t="inlineStr">
        <is>
          <t>Valid 15-digit GSTIN verification</t>
        </is>
      </c>
      <c r="E5" s="29" t="inlineStr">
        <is>
          <t>GST details auto-populated from GSTN database; Verified badge displayed.</t>
        </is>
      </c>
      <c r="F5" s="29" t="inlineStr">
        <is>
          <t>As expected</t>
        </is>
      </c>
      <c r="G5" s="28" t="inlineStr">
        <is>
          <t>Pass</t>
        </is>
      </c>
      <c r="H5" s="29" t="inlineStr"/>
    </row>
    <row r="6">
      <c r="A6" s="27" t="inlineStr">
        <is>
          <t>TC_005</t>
        </is>
      </c>
      <c r="B6" s="27" t="inlineStr">
        <is>
          <t>1. Seller Onboarding &amp; KYC</t>
        </is>
      </c>
      <c r="C6" s="27" t="inlineStr">
        <is>
          <t>R01</t>
        </is>
      </c>
      <c r="D6" s="27" t="inlineStr">
        <is>
          <t>Invalid GSTIN format validation</t>
        </is>
      </c>
      <c r="E6" s="27" t="inlineStr">
        <is>
          <t>Inline validation error: "Invalid GSTIN format".</t>
        </is>
      </c>
      <c r="F6" s="27" t="inlineStr">
        <is>
          <t>As expected</t>
        </is>
      </c>
      <c r="G6" s="28" t="inlineStr">
        <is>
          <t>Pass</t>
        </is>
      </c>
      <c r="H6" s="27" t="inlineStr"/>
    </row>
    <row r="7">
      <c r="A7" s="29" t="inlineStr">
        <is>
          <t>TC_006</t>
        </is>
      </c>
      <c r="B7" s="29" t="inlineStr">
        <is>
          <t>1. Seller Onboarding &amp; KYC</t>
        </is>
      </c>
      <c r="C7" s="29" t="inlineStr">
        <is>
          <t>R01</t>
        </is>
      </c>
      <c r="D7" s="29" t="inlineStr">
        <is>
          <t>GSTIN already linked to another account</t>
        </is>
      </c>
      <c r="E7" s="29" t="inlineStr">
        <is>
          <t>System blocks submission: "GSTIN already linked with another account".</t>
        </is>
      </c>
      <c r="F7" s="29" t="inlineStr">
        <is>
          <t>As expected</t>
        </is>
      </c>
      <c r="G7" s="28" t="inlineStr">
        <is>
          <t>Pass</t>
        </is>
      </c>
      <c r="H7" s="29" t="inlineStr"/>
    </row>
    <row r="8">
      <c r="A8" s="27" t="inlineStr">
        <is>
          <t>TC_007</t>
        </is>
      </c>
      <c r="B8" s="27" t="inlineStr">
        <is>
          <t>1. Seller Onboarding &amp; KYC</t>
        </is>
      </c>
      <c r="C8" s="27" t="inlineStr">
        <is>
          <t>R01</t>
        </is>
      </c>
      <c r="D8" s="27" t="inlineStr">
        <is>
          <t>Upload valid Business PAN</t>
        </is>
      </c>
      <c r="E8" s="27" t="inlineStr">
        <is>
          <t>Image uploaded successfully; status set to "Pending Verification".</t>
        </is>
      </c>
      <c r="F8" s="27" t="inlineStr">
        <is>
          <t>As expected</t>
        </is>
      </c>
      <c r="G8" s="28" t="inlineStr">
        <is>
          <t>Pass</t>
        </is>
      </c>
      <c r="H8" s="27" t="inlineStr"/>
    </row>
    <row r="9">
      <c r="A9" s="29" t="inlineStr">
        <is>
          <t>TC_008</t>
        </is>
      </c>
      <c r="B9" s="29" t="inlineStr">
        <is>
          <t>1. Seller Onboarding &amp; KYC</t>
        </is>
      </c>
      <c r="C9" s="29" t="inlineStr">
        <is>
          <t>R01</t>
        </is>
      </c>
      <c r="D9" s="29" t="inlineStr">
        <is>
          <t>Upload unsupported file type for PAN</t>
        </is>
      </c>
      <c r="E9" s="29" t="inlineStr">
        <is>
          <t>Validation error: "Only JPG, PNG, and PDF formats supported".</t>
        </is>
      </c>
      <c r="F9" s="29" t="inlineStr">
        <is>
          <t>As expected</t>
        </is>
      </c>
      <c r="G9" s="28" t="inlineStr">
        <is>
          <t>Pass</t>
        </is>
      </c>
      <c r="H9" s="29" t="inlineStr"/>
    </row>
    <row r="10">
      <c r="A10" s="27" t="inlineStr">
        <is>
          <t>TC_009</t>
        </is>
      </c>
      <c r="B10" s="27" t="inlineStr">
        <is>
          <t>2. Seller Profile &amp; Business Settings</t>
        </is>
      </c>
      <c r="C10" s="27" t="inlineStr">
        <is>
          <t>R02</t>
        </is>
      </c>
      <c r="D10" s="27" t="inlineStr">
        <is>
          <t>Add company name with special characters</t>
        </is>
      </c>
      <c r="E10" s="27" t="inlineStr">
        <is>
          <t>Input sanitized or error displayed for invalid special characters.</t>
        </is>
      </c>
      <c r="F10" s="27" t="inlineStr">
        <is>
          <t>As expected</t>
        </is>
      </c>
      <c r="G10" s="28" t="inlineStr">
        <is>
          <t>Pass</t>
        </is>
      </c>
      <c r="H10" s="27" t="inlineStr"/>
    </row>
    <row r="11">
      <c r="A11" s="29" t="inlineStr">
        <is>
          <t>TC_010</t>
        </is>
      </c>
      <c r="B11" s="29" t="inlineStr">
        <is>
          <t>2. Seller Profile &amp; Business Settings</t>
        </is>
      </c>
      <c r="C11" s="29" t="inlineStr">
        <is>
          <t>R02</t>
        </is>
      </c>
      <c r="D11" s="29" t="inlineStr">
        <is>
          <t>Add official company business address</t>
        </is>
      </c>
      <c r="E11" s="29" t="inlineStr">
        <is>
          <t>City and State auto-populated as Hyderabad, Telangana.</t>
        </is>
      </c>
      <c r="F11" s="29" t="inlineStr">
        <is>
          <t>As expected</t>
        </is>
      </c>
      <c r="G11" s="28" t="inlineStr">
        <is>
          <t>Pass</t>
        </is>
      </c>
      <c r="H11" s="29" t="inlineStr"/>
    </row>
    <row r="12">
      <c r="A12" s="27" t="inlineStr">
        <is>
          <t>TC_011</t>
        </is>
      </c>
      <c r="B12" s="27" t="inlineStr">
        <is>
          <t>2. Seller Profile &amp; Business Settings</t>
        </is>
      </c>
      <c r="C12" s="27" t="inlineStr">
        <is>
          <t>R02</t>
        </is>
      </c>
      <c r="D12" s="27" t="inlineStr">
        <is>
          <t>PIN Code &amp; City auto-mapping check</t>
        </is>
      </c>
      <c r="E12" s="27" t="inlineStr">
        <is>
          <t>Validation message: "Invalid PIN Code".</t>
        </is>
      </c>
      <c r="F12" s="27" t="inlineStr">
        <is>
          <t>As expected</t>
        </is>
      </c>
      <c r="G12" s="28" t="inlineStr">
        <is>
          <t>Pass</t>
        </is>
      </c>
      <c r="H12" s="27" t="inlineStr"/>
    </row>
    <row r="13">
      <c r="A13" s="29" t="inlineStr">
        <is>
          <t>TC_012</t>
        </is>
      </c>
      <c r="B13" s="29" t="inlineStr">
        <is>
          <t>2. Seller Profile &amp; Business Settings</t>
        </is>
      </c>
      <c r="C13" s="29" t="inlineStr">
        <is>
          <t>R02</t>
        </is>
      </c>
      <c r="D13" s="29" t="inlineStr">
        <is>
          <t>Upload company logo (within size limit)</t>
        </is>
      </c>
      <c r="E13" s="29" t="inlineStr">
        <is>
          <t>Logo displays on public seller page and catalog.</t>
        </is>
      </c>
      <c r="F13" s="29" t="inlineStr">
        <is>
          <t>As expected</t>
        </is>
      </c>
      <c r="G13" s="28" t="inlineStr">
        <is>
          <t>Pass</t>
        </is>
      </c>
      <c r="H13" s="29" t="inlineStr"/>
    </row>
    <row r="14">
      <c r="A14" s="27" t="inlineStr">
        <is>
          <t>TC_013</t>
        </is>
      </c>
      <c r="B14" s="27" t="inlineStr">
        <is>
          <t>2. Seller Profile &amp; Business Settings</t>
        </is>
      </c>
      <c r="C14" s="27" t="inlineStr">
        <is>
          <t>R02</t>
        </is>
      </c>
      <c r="D14" s="27" t="inlineStr">
        <is>
          <t>Upload company logo (exceeding 10 MB)</t>
        </is>
      </c>
      <c r="E14" s="27" t="inlineStr">
        <is>
          <t>Error: "File size exceeds maximum limit of 10 MB".</t>
        </is>
      </c>
      <c r="F14" s="27" t="inlineStr">
        <is>
          <t>As expected</t>
        </is>
      </c>
      <c r="G14" s="28" t="inlineStr">
        <is>
          <t>Pass</t>
        </is>
      </c>
      <c r="H14" s="27" t="inlineStr"/>
    </row>
    <row r="15">
      <c r="A15" s="29" t="inlineStr">
        <is>
          <t>TC_014</t>
        </is>
      </c>
      <c r="B15" s="29" t="inlineStr">
        <is>
          <t>2. Seller Profile &amp; Business Settings</t>
        </is>
      </c>
      <c r="C15" s="29" t="inlineStr">
        <is>
          <t>R02</t>
        </is>
      </c>
      <c r="D15" s="29" t="inlineStr">
        <is>
          <t>Add primary business category</t>
        </is>
      </c>
      <c r="E15" s="29" t="inlineStr">
        <is>
          <t>Primary business category saved and reflected in search tags.</t>
        </is>
      </c>
      <c r="F15" s="29" t="inlineStr">
        <is>
          <t>As expected</t>
        </is>
      </c>
      <c r="G15" s="28" t="inlineStr">
        <is>
          <t>Pass</t>
        </is>
      </c>
      <c r="H15" s="29" t="inlineStr"/>
    </row>
    <row r="16">
      <c r="A16" s="27" t="inlineStr">
        <is>
          <t>TC_015</t>
        </is>
      </c>
      <c r="B16" s="27" t="inlineStr">
        <is>
          <t>2. Seller Profile &amp; Business Settings</t>
        </is>
      </c>
      <c r="C16" s="27" t="inlineStr">
        <is>
          <t>R02</t>
        </is>
      </c>
      <c r="D16" s="27" t="inlineStr">
        <is>
          <t>Add multiple secondary categories</t>
        </is>
      </c>
      <c r="E16" s="27" t="inlineStr">
        <is>
          <t>All 5 categories mapped to seller profile.</t>
        </is>
      </c>
      <c r="F16" s="27" t="inlineStr">
        <is>
          <t>As expected</t>
        </is>
      </c>
      <c r="G16" s="28" t="inlineStr">
        <is>
          <t>Pass</t>
        </is>
      </c>
      <c r="H16" s="27" t="inlineStr"/>
    </row>
    <row r="17">
      <c r="A17" s="29" t="inlineStr">
        <is>
          <t>TC_016</t>
        </is>
      </c>
      <c r="B17" s="29" t="inlineStr">
        <is>
          <t>2. Seller Profile &amp; Business Settings</t>
        </is>
      </c>
      <c r="C17" s="29" t="inlineStr">
        <is>
          <t>R02</t>
        </is>
      </c>
      <c r="D17" s="29" t="inlineStr">
        <is>
          <t>Edit registered mobile number via OTP</t>
        </is>
      </c>
      <c r="E17" s="29" t="inlineStr">
        <is>
          <t>Registered phone number updated across IndiaMART directory.</t>
        </is>
      </c>
      <c r="F17" s="29" t="inlineStr">
        <is>
          <t>As expected</t>
        </is>
      </c>
      <c r="G17" s="28" t="inlineStr">
        <is>
          <t>Pass</t>
        </is>
      </c>
      <c r="H17" s="29" t="inlineStr"/>
    </row>
    <row r="18">
      <c r="A18" s="27" t="inlineStr">
        <is>
          <t>TC_017</t>
        </is>
      </c>
      <c r="B18" s="27" t="inlineStr">
        <is>
          <t>2. Seller Profile &amp; Business Settings</t>
        </is>
      </c>
      <c r="C18" s="27" t="inlineStr">
        <is>
          <t>R02</t>
        </is>
      </c>
      <c r="D18" s="27" t="inlineStr">
        <is>
          <t>Update Bank Account Details for P2P Settlements</t>
        </is>
      </c>
      <c r="E18" s="27" t="inlineStr">
        <is>
          <t>Bank name &amp; branch auto-resolved; penny drop verification succeeds.</t>
        </is>
      </c>
      <c r="F18" s="27" t="inlineStr">
        <is>
          <t>As expected</t>
        </is>
      </c>
      <c r="G18" s="28" t="inlineStr">
        <is>
          <t>Pass</t>
        </is>
      </c>
      <c r="H18" s="27" t="inlineStr"/>
    </row>
    <row r="19">
      <c r="A19" s="29" t="inlineStr">
        <is>
          <t>TC_018</t>
        </is>
      </c>
      <c r="B19" s="29" t="inlineStr">
        <is>
          <t>2. Seller Profile &amp; Business Settings</t>
        </is>
      </c>
      <c r="C19" s="29" t="inlineStr">
        <is>
          <t>R02</t>
        </is>
      </c>
      <c r="D19" s="29" t="inlineStr">
        <is>
          <t>Incorrect IFSC code handling</t>
        </is>
      </c>
      <c r="E19" s="29" t="inlineStr">
        <is>
          <t>Error: "Invalid IFSC Code. Please re-enter".</t>
        </is>
      </c>
      <c r="F19" s="29" t="inlineStr">
        <is>
          <t>As expected</t>
        </is>
      </c>
      <c r="G19" s="28" t="inlineStr">
        <is>
          <t>Pass</t>
        </is>
      </c>
      <c r="H19" s="29" t="inlineStr"/>
    </row>
    <row r="20">
      <c r="A20" s="27" t="inlineStr">
        <is>
          <t>TC_019</t>
        </is>
      </c>
      <c r="B20" s="27" t="inlineStr">
        <is>
          <t>2. Seller Profile &amp; Business Settings</t>
        </is>
      </c>
      <c r="C20" s="27" t="inlineStr">
        <is>
          <t>R02</t>
        </is>
      </c>
      <c r="D20" s="27" t="inlineStr">
        <is>
          <t>Check profile completeness progress bar</t>
        </is>
      </c>
      <c r="E20" s="27" t="inlineStr">
        <is>
          <t>Profile strength bar increases from 30% to 80%.</t>
        </is>
      </c>
      <c r="F20" s="27" t="inlineStr">
        <is>
          <t>As expected</t>
        </is>
      </c>
      <c r="G20" s="28" t="inlineStr">
        <is>
          <t>Pass</t>
        </is>
      </c>
      <c r="H20" s="27" t="inlineStr"/>
    </row>
    <row r="21">
      <c r="A21" s="29" t="inlineStr">
        <is>
          <t>TC_020</t>
        </is>
      </c>
      <c r="B21" s="29" t="inlineStr">
        <is>
          <t>2. Seller Profile &amp; Business Settings</t>
        </is>
      </c>
      <c r="C21" s="29" t="inlineStr">
        <is>
          <t>R02</t>
        </is>
      </c>
      <c r="D21" s="29" t="inlineStr">
        <is>
          <t>Toggle seller account visibility (Active/Inactive)</t>
        </is>
      </c>
      <c r="E21" s="29" t="inlineStr">
        <is>
          <t>Seller products hidden from live IndiaMART search results.</t>
        </is>
      </c>
      <c r="F21" s="29" t="inlineStr">
        <is>
          <t>As expected</t>
        </is>
      </c>
      <c r="G21" s="28" t="inlineStr">
        <is>
          <t>Pass</t>
        </is>
      </c>
      <c r="H21" s="29" t="inlineStr"/>
    </row>
    <row r="22">
      <c r="A22" s="27" t="inlineStr">
        <is>
          <t>TC_021</t>
        </is>
      </c>
      <c r="B22" s="27" t="inlineStr">
        <is>
          <t>3. Catalog &amp; Product Management</t>
        </is>
      </c>
      <c r="C22" s="27" t="inlineStr">
        <is>
          <t>R02</t>
        </is>
      </c>
      <c r="D22" s="27" t="inlineStr">
        <is>
          <t>Add new product with valid details</t>
        </is>
      </c>
      <c r="E22" s="27" t="inlineStr">
        <is>
          <t>Product published to seller catalog with pending moderation status.</t>
        </is>
      </c>
      <c r="F22" s="27" t="inlineStr">
        <is>
          <t>As expected</t>
        </is>
      </c>
      <c r="G22" s="28" t="inlineStr">
        <is>
          <t>Pass</t>
        </is>
      </c>
      <c r="H22" s="27" t="inlineStr"/>
    </row>
    <row r="23">
      <c r="A23" s="29" t="inlineStr">
        <is>
          <t>TC_022</t>
        </is>
      </c>
      <c r="B23" s="29" t="inlineStr">
        <is>
          <t>3. Catalog &amp; Product Management</t>
        </is>
      </c>
      <c r="C23" s="29" t="inlineStr">
        <is>
          <t>R02</t>
        </is>
      </c>
      <c r="D23" s="29" t="inlineStr">
        <is>
          <t>Add product without mandatory fields</t>
        </is>
      </c>
      <c r="E23" s="29" t="inlineStr">
        <is>
          <t>Form submission blocked; mandatory field highlighted in red.</t>
        </is>
      </c>
      <c r="F23" s="29" t="inlineStr">
        <is>
          <t>As expected</t>
        </is>
      </c>
      <c r="G23" s="28" t="inlineStr">
        <is>
          <t>Pass</t>
        </is>
      </c>
      <c r="H23" s="29" t="inlineStr"/>
    </row>
    <row r="24">
      <c r="A24" s="27" t="inlineStr">
        <is>
          <t>TC_023</t>
        </is>
      </c>
      <c r="B24" s="27" t="inlineStr">
        <is>
          <t>3. Catalog &amp; Product Management</t>
        </is>
      </c>
      <c r="C24" s="27" t="inlineStr">
        <is>
          <t>R02</t>
        </is>
      </c>
      <c r="D24" s="27" t="inlineStr">
        <is>
          <t>Price input verification (Numeric only)</t>
        </is>
      </c>
      <c r="E24" s="27" t="inlineStr">
        <is>
          <t>Input field rejects non-numeric entries.</t>
        </is>
      </c>
      <c r="F24" s="27" t="inlineStr">
        <is>
          <t>As expected</t>
        </is>
      </c>
      <c r="G24" s="28" t="inlineStr">
        <is>
          <t>Pass</t>
        </is>
      </c>
      <c r="H24" s="27" t="inlineStr"/>
    </row>
    <row r="25">
      <c r="A25" s="29" t="inlineStr">
        <is>
          <t>TC_024</t>
        </is>
      </c>
      <c r="B25" s="29" t="inlineStr">
        <is>
          <t>3. Catalog &amp; Product Management</t>
        </is>
      </c>
      <c r="C25" s="29" t="inlineStr">
        <is>
          <t>R02</t>
        </is>
      </c>
      <c r="D25" s="29" t="inlineStr">
        <is>
          <t>Add Minimum Order Quantity (MOQ)</t>
        </is>
      </c>
      <c r="E25" s="29" t="inlineStr">
        <is>
          <t>Product listing displays "MOQ: 50 Pieces" to prospective buyers.</t>
        </is>
      </c>
      <c r="F25" s="29" t="inlineStr">
        <is>
          <t>As expected</t>
        </is>
      </c>
      <c r="G25" s="28" t="inlineStr">
        <is>
          <t>Pass</t>
        </is>
      </c>
      <c r="H25" s="29" t="inlineStr"/>
    </row>
    <row r="26">
      <c r="A26" s="27" t="inlineStr">
        <is>
          <t>TC_025</t>
        </is>
      </c>
      <c r="B26" s="27" t="inlineStr">
        <is>
          <t>3. Catalog &amp; Product Management</t>
        </is>
      </c>
      <c r="C26" s="27" t="inlineStr">
        <is>
          <t>R02</t>
        </is>
      </c>
      <c r="D26" s="27" t="inlineStr">
        <is>
          <t>Add tiered volume pricing</t>
        </is>
      </c>
      <c r="E26" s="27" t="inlineStr">
        <is>
          <t>Tiered pricing table displayed on product page.</t>
        </is>
      </c>
      <c r="F26" s="27" t="inlineStr">
        <is>
          <t>As expected</t>
        </is>
      </c>
      <c r="G26" s="28" t="inlineStr">
        <is>
          <t>Pass</t>
        </is>
      </c>
      <c r="H26" s="27" t="inlineStr"/>
    </row>
    <row r="27">
      <c r="A27" s="29" t="inlineStr">
        <is>
          <t>TC_026</t>
        </is>
      </c>
      <c r="B27" s="29" t="inlineStr">
        <is>
          <t>3. Catalog &amp; Product Management</t>
        </is>
      </c>
      <c r="C27" s="29" t="inlineStr">
        <is>
          <t>R03</t>
        </is>
      </c>
      <c r="D27" s="29" t="inlineStr">
        <is>
          <t>Bulk product upload via Excel CSV</t>
        </is>
      </c>
      <c r="E27" s="29" t="inlineStr">
        <is>
          <t>All 50 products parsed and created in catalog.</t>
        </is>
      </c>
      <c r="F27" s="29" t="inlineStr">
        <is>
          <t>As expected</t>
        </is>
      </c>
      <c r="G27" s="28" t="inlineStr">
        <is>
          <t>Pass</t>
        </is>
      </c>
      <c r="H27" s="29" t="inlineStr"/>
    </row>
    <row r="28">
      <c r="A28" s="27" t="inlineStr">
        <is>
          <t>TC_027</t>
        </is>
      </c>
      <c r="B28" s="27" t="inlineStr">
        <is>
          <t>3. Catalog &amp; Product Management</t>
        </is>
      </c>
      <c r="C28" s="27" t="inlineStr">
        <is>
          <t>R03</t>
        </is>
      </c>
      <c r="D28" s="27" t="inlineStr">
        <is>
          <t>Bulk upload with corrupted CSV formatting</t>
        </is>
      </c>
      <c r="E28" s="27" t="inlineStr">
        <is>
          <t>System shows detailed error report specifying line numbers with issues.</t>
        </is>
      </c>
      <c r="F28" s="27" t="inlineStr">
        <is>
          <t>As expected</t>
        </is>
      </c>
      <c r="G28" s="28" t="inlineStr">
        <is>
          <t>Pass</t>
        </is>
      </c>
      <c r="H28" s="27" t="inlineStr"/>
    </row>
    <row r="29">
      <c r="A29" s="29" t="inlineStr">
        <is>
          <t>TC_028</t>
        </is>
      </c>
      <c r="B29" s="29" t="inlineStr">
        <is>
          <t>3. Catalog &amp; Product Management</t>
        </is>
      </c>
      <c r="C29" s="29" t="inlineStr">
        <is>
          <t>R03</t>
        </is>
      </c>
      <c r="D29" s="29" t="inlineStr">
        <is>
          <t>Add multiple product images</t>
        </is>
      </c>
      <c r="E29" s="29" t="inlineStr">
        <is>
          <t>Gallery slider operational on product page.</t>
        </is>
      </c>
      <c r="F29" s="29" t="inlineStr">
        <is>
          <t>As expected</t>
        </is>
      </c>
      <c r="G29" s="28" t="inlineStr">
        <is>
          <t>Pass</t>
        </is>
      </c>
      <c r="H29" s="29" t="inlineStr"/>
    </row>
    <row r="30">
      <c r="A30" s="27" t="inlineStr">
        <is>
          <t>TC_029</t>
        </is>
      </c>
      <c r="B30" s="27" t="inlineStr">
        <is>
          <t>3. Catalog &amp; Product Management</t>
        </is>
      </c>
      <c r="C30" s="27" t="inlineStr">
        <is>
          <t>R03</t>
        </is>
      </c>
      <c r="D30" s="27" t="inlineStr">
        <is>
          <t>Add YouTube video URL to product catalog</t>
        </is>
      </c>
      <c r="E30" s="27" t="inlineStr">
        <is>
          <t>Video thumbnail embedded and playable on listing page.</t>
        </is>
      </c>
      <c r="F30" s="27" t="inlineStr">
        <is>
          <t>As expected</t>
        </is>
      </c>
      <c r="G30" s="28" t="inlineStr">
        <is>
          <t>Pass</t>
        </is>
      </c>
      <c r="H30" s="27" t="inlineStr"/>
    </row>
    <row r="31">
      <c r="A31" s="29" t="inlineStr">
        <is>
          <t>TC_030</t>
        </is>
      </c>
      <c r="B31" s="29" t="inlineStr">
        <is>
          <t>3. Catalog &amp; Product Management</t>
        </is>
      </c>
      <c r="C31" s="29" t="inlineStr">
        <is>
          <t>R03</t>
        </is>
      </c>
      <c r="D31" s="29" t="inlineStr">
        <is>
          <t>Add invalid video link</t>
        </is>
      </c>
      <c r="E31" s="29" t="inlineStr">
        <is>
          <t>Error: "Please enter a valid YouTube video URL".</t>
        </is>
      </c>
      <c r="F31" s="29" t="inlineStr">
        <is>
          <t>As expected</t>
        </is>
      </c>
      <c r="G31" s="28" t="inlineStr">
        <is>
          <t>Pass</t>
        </is>
      </c>
      <c r="H31" s="29" t="inlineStr"/>
    </row>
    <row r="32">
      <c r="A32" s="27" t="inlineStr">
        <is>
          <t>TC_031</t>
        </is>
      </c>
      <c r="B32" s="27" t="inlineStr">
        <is>
          <t>3. Catalog &amp; Product Management</t>
        </is>
      </c>
      <c r="C32" s="27" t="inlineStr">
        <is>
          <t>R03</t>
        </is>
      </c>
      <c r="D32" s="27" t="inlineStr">
        <is>
          <t>Set product status to "Out of Stock"</t>
        </is>
      </c>
      <c r="E32" s="27" t="inlineStr">
        <is>
          <t xml:space="preserve"> Send Enquiry active, but Buy Now disabled for buyers.</t>
        </is>
      </c>
      <c r="F32" s="27" t="inlineStr">
        <is>
          <t>As expected</t>
        </is>
      </c>
      <c r="G32" s="28" t="inlineStr">
        <is>
          <t>Pass</t>
        </is>
      </c>
      <c r="H32" s="27" t="inlineStr"/>
    </row>
    <row r="33">
      <c r="A33" s="29" t="inlineStr">
        <is>
          <t>TC_032</t>
        </is>
      </c>
      <c r="B33" s="29" t="inlineStr">
        <is>
          <t>3. Catalog &amp; Product Management</t>
        </is>
      </c>
      <c r="C33" s="29" t="inlineStr">
        <is>
          <t>R03</t>
        </is>
      </c>
      <c r="D33" s="29" t="inlineStr">
        <is>
          <t>Edit product specifications (e.g., Material, Color)</t>
        </is>
      </c>
      <c r="E33" s="29" t="inlineStr">
        <is>
          <t>Updated specifications immediately visible on listing.</t>
        </is>
      </c>
      <c r="F33" s="29" t="inlineStr">
        <is>
          <t>As expected</t>
        </is>
      </c>
      <c r="G33" s="28" t="inlineStr">
        <is>
          <t>Pass</t>
        </is>
      </c>
      <c r="H33" s="29" t="inlineStr"/>
    </row>
    <row r="34">
      <c r="A34" s="27" t="inlineStr">
        <is>
          <t>TC_033</t>
        </is>
      </c>
      <c r="B34" s="27" t="inlineStr">
        <is>
          <t>3. Catalog &amp; Product Management</t>
        </is>
      </c>
      <c r="C34" s="27" t="inlineStr">
        <is>
          <t>R03</t>
        </is>
      </c>
      <c r="D34" s="27" t="inlineStr">
        <is>
          <t>Delete single product from catalog</t>
        </is>
      </c>
      <c r="E34" s="27" t="inlineStr">
        <is>
          <t>Product removed from catalog and live search index.</t>
        </is>
      </c>
      <c r="F34" s="27" t="inlineStr">
        <is>
          <t>As expected</t>
        </is>
      </c>
      <c r="G34" s="28" t="inlineStr">
        <is>
          <t>Pass</t>
        </is>
      </c>
      <c r="H34" s="27" t="inlineStr"/>
    </row>
    <row r="35">
      <c r="A35" s="29" t="inlineStr">
        <is>
          <t>TC_034</t>
        </is>
      </c>
      <c r="B35" s="29" t="inlineStr">
        <is>
          <t>3. Catalog &amp; Product Management</t>
        </is>
      </c>
      <c r="C35" s="29" t="inlineStr">
        <is>
          <t>R03</t>
        </is>
      </c>
      <c r="D35" s="29" t="inlineStr">
        <is>
          <t>Bulk deletion of products</t>
        </is>
      </c>
      <c r="E35" s="29" t="inlineStr">
        <is>
          <t>All 10 products permanently removed.</t>
        </is>
      </c>
      <c r="F35" s="29" t="inlineStr">
        <is>
          <t>As expected</t>
        </is>
      </c>
      <c r="G35" s="28" t="inlineStr">
        <is>
          <t>Pass</t>
        </is>
      </c>
      <c r="H35" s="29" t="inlineStr"/>
    </row>
    <row r="36">
      <c r="A36" s="27" t="inlineStr">
        <is>
          <t>TC_035</t>
        </is>
      </c>
      <c r="B36" s="27" t="inlineStr">
        <is>
          <t>3. Catalog &amp; Product Management</t>
        </is>
      </c>
      <c r="C36" s="27" t="inlineStr">
        <is>
          <t>R03</t>
        </is>
      </c>
      <c r="D36" s="27" t="inlineStr">
        <is>
          <t>Duplicate product creation check</t>
        </is>
      </c>
      <c r="E36" s="27" t="inlineStr">
        <is>
          <t>Warning prompt: "Similar product already exists in your catalog".</t>
        </is>
      </c>
      <c r="F36" s="27" t="inlineStr">
        <is>
          <t>As expected</t>
        </is>
      </c>
      <c r="G36" s="28" t="inlineStr">
        <is>
          <t>Pass</t>
        </is>
      </c>
      <c r="H36" s="27" t="inlineStr"/>
    </row>
    <row r="37">
      <c r="A37" s="29" t="inlineStr">
        <is>
          <t>TC_036</t>
        </is>
      </c>
      <c r="B37" s="29" t="inlineStr">
        <is>
          <t>3. Catalog &amp; Product Management</t>
        </is>
      </c>
      <c r="C37" s="29" t="inlineStr">
        <is>
          <t>R03</t>
        </is>
      </c>
      <c r="D37" s="29" t="inlineStr">
        <is>
          <t>Rich text formatting in product description</t>
        </is>
      </c>
      <c r="E37" s="29" t="inlineStr">
        <is>
          <t>Formatting renders accurately on desktop and mobile web.</t>
        </is>
      </c>
      <c r="F37" s="29" t="inlineStr">
        <is>
          <t>As expected</t>
        </is>
      </c>
      <c r="G37" s="28" t="inlineStr">
        <is>
          <t>Pass</t>
        </is>
      </c>
      <c r="H37" s="29" t="inlineStr"/>
    </row>
    <row r="38">
      <c r="A38" s="27" t="inlineStr">
        <is>
          <t>TC_037</t>
        </is>
      </c>
      <c r="B38" s="27" t="inlineStr">
        <is>
          <t>3. Catalog &amp; Product Management</t>
        </is>
      </c>
      <c r="C38" s="27" t="inlineStr">
        <is>
          <t>R03</t>
        </is>
      </c>
      <c r="D38" s="27" t="inlineStr">
        <is>
          <t>Product HSN code assignment</t>
        </is>
      </c>
      <c r="E38" s="27" t="inlineStr">
        <is>
          <t>Correct GST rate auto-suggested (e.g. 18%).</t>
        </is>
      </c>
      <c r="F38" s="27" t="inlineStr">
        <is>
          <t>As expected</t>
        </is>
      </c>
      <c r="G38" s="28" t="inlineStr">
        <is>
          <t>Pass</t>
        </is>
      </c>
      <c r="H38" s="27" t="inlineStr"/>
    </row>
    <row r="39">
      <c r="A39" s="29" t="inlineStr">
        <is>
          <t>TC_038</t>
        </is>
      </c>
      <c r="B39" s="29" t="inlineStr">
        <is>
          <t>3. Catalog &amp; Product Management</t>
        </is>
      </c>
      <c r="C39" s="29" t="inlineStr">
        <is>
          <t>R03</t>
        </is>
      </c>
      <c r="D39" s="29" t="inlineStr">
        <is>
          <t>Search engine optimization (SEO) tag addition</t>
        </is>
      </c>
      <c r="E39" s="29" t="inlineStr">
        <is>
          <t>Tags attached to metadata for search indexing.</t>
        </is>
      </c>
      <c r="F39" s="29" t="inlineStr">
        <is>
          <t>As expected</t>
        </is>
      </c>
      <c r="G39" s="28" t="inlineStr">
        <is>
          <t>Pass</t>
        </is>
      </c>
      <c r="H39" s="29" t="inlineStr"/>
    </row>
    <row r="40">
      <c r="A40" s="27" t="inlineStr">
        <is>
          <t>TC_039</t>
        </is>
      </c>
      <c r="B40" s="27" t="inlineStr">
        <is>
          <t>3. Catalog &amp; Product Management</t>
        </is>
      </c>
      <c r="C40" s="27" t="inlineStr">
        <is>
          <t>R03</t>
        </is>
      </c>
      <c r="D40" s="27" t="inlineStr">
        <is>
          <t>Product approval workflow (Admin Moderation)</t>
        </is>
      </c>
      <c r="E40" s="27" t="inlineStr">
        <is>
          <t>Flagged by automated moderation system; status set to "Rejected".</t>
        </is>
      </c>
      <c r="F40" s="27" t="inlineStr">
        <is>
          <t>Behavior mismatched; issue logged</t>
        </is>
      </c>
      <c r="G40" s="30" t="inlineStr">
        <is>
          <t>Fail</t>
        </is>
      </c>
      <c r="H40" s="27" t="inlineStr">
        <is>
          <t>DEF-001</t>
        </is>
      </c>
    </row>
    <row r="41">
      <c r="A41" s="29" t="inlineStr">
        <is>
          <t>TC_040</t>
        </is>
      </c>
      <c r="B41" s="29" t="inlineStr">
        <is>
          <t>3. Catalog &amp; Product Management</t>
        </is>
      </c>
      <c r="C41" s="29" t="inlineStr">
        <is>
          <t>R03</t>
        </is>
      </c>
      <c r="D41" s="29" t="inlineStr">
        <is>
          <t>Export full product catalog to PDF/Excel</t>
        </is>
      </c>
      <c r="E41" s="29" t="inlineStr">
        <is>
          <t>Downloadable catalog file generated with prices and specifications.</t>
        </is>
      </c>
      <c r="F41" s="29" t="inlineStr">
        <is>
          <t>As expected</t>
        </is>
      </c>
      <c r="G41" s="28" t="inlineStr">
        <is>
          <t>Pass</t>
        </is>
      </c>
      <c r="H41" s="29" t="inlineStr"/>
    </row>
    <row r="42">
      <c r="A42" s="27" t="inlineStr">
        <is>
          <t>TC_041</t>
        </is>
      </c>
      <c r="B42" s="27" t="inlineStr">
        <is>
          <t>4. Search, Filters &amp; RFQ Quotes</t>
        </is>
      </c>
      <c r="C42" s="27" t="inlineStr">
        <is>
          <t>R03</t>
        </is>
      </c>
      <c r="D42" s="27" t="inlineStr">
        <is>
          <t>Search product by exact keyword</t>
        </is>
      </c>
      <c r="E42" s="27" t="inlineStr">
        <is>
          <t>Relevant solar panel listings displayed sorted by rank.</t>
        </is>
      </c>
      <c r="F42" s="27" t="inlineStr">
        <is>
          <t>As expected</t>
        </is>
      </c>
      <c r="G42" s="28" t="inlineStr">
        <is>
          <t>Pass</t>
        </is>
      </c>
      <c r="H42" s="27" t="inlineStr"/>
    </row>
    <row r="43">
      <c r="A43" s="29" t="inlineStr">
        <is>
          <t>TC_042</t>
        </is>
      </c>
      <c r="B43" s="29" t="inlineStr">
        <is>
          <t>4. Search, Filters &amp; RFQ Quotes</t>
        </is>
      </c>
      <c r="C43" s="29" t="inlineStr">
        <is>
          <t>R03</t>
        </is>
      </c>
      <c r="D43" s="29" t="inlineStr">
        <is>
          <t>Search product with typo/misspelling</t>
        </is>
      </c>
      <c r="E43" s="29" t="inlineStr">
        <is>
          <t>Auto-correct triggers: "Showing results for Solar Panel".</t>
        </is>
      </c>
      <c r="F43" s="29" t="inlineStr">
        <is>
          <t>As expected</t>
        </is>
      </c>
      <c r="G43" s="28" t="inlineStr">
        <is>
          <t>Pass</t>
        </is>
      </c>
      <c r="H43" s="29" t="inlineStr"/>
    </row>
    <row r="44">
      <c r="A44" s="27" t="inlineStr">
        <is>
          <t>TC_043</t>
        </is>
      </c>
      <c r="B44" s="27" t="inlineStr">
        <is>
          <t>4. Search, Filters &amp; RFQ Quotes</t>
        </is>
      </c>
      <c r="C44" s="27" t="inlineStr">
        <is>
          <t>R03</t>
        </is>
      </c>
      <c r="D44" s="27" t="inlineStr">
        <is>
          <t>Filter search results by Location (City/State)</t>
        </is>
      </c>
      <c r="E44" s="27" t="inlineStr">
        <is>
          <t>Only Surat-based suppliers displayed.</t>
        </is>
      </c>
      <c r="F44" s="27" t="inlineStr">
        <is>
          <t>As expected</t>
        </is>
      </c>
      <c r="G44" s="28" t="inlineStr">
        <is>
          <t>Pass</t>
        </is>
      </c>
      <c r="H44" s="27" t="inlineStr"/>
    </row>
    <row r="45">
      <c r="A45" s="29" t="inlineStr">
        <is>
          <t>TC_044</t>
        </is>
      </c>
      <c r="B45" s="29" t="inlineStr">
        <is>
          <t>4. Search, Filters &amp; RFQ Quotes</t>
        </is>
      </c>
      <c r="C45" s="29" t="inlineStr">
        <is>
          <t>R03</t>
        </is>
      </c>
      <c r="D45" s="29" t="inlineStr">
        <is>
          <t>Filter search results by Verified Supplier badge</t>
        </is>
      </c>
      <c r="E45" s="29" t="inlineStr">
        <is>
          <t>Non-verified suppliers filtered out.</t>
        </is>
      </c>
      <c r="F45" s="29" t="inlineStr">
        <is>
          <t>As expected</t>
        </is>
      </c>
      <c r="G45" s="28" t="inlineStr">
        <is>
          <t>Pass</t>
        </is>
      </c>
      <c r="H45" s="29" t="inlineStr"/>
    </row>
    <row r="46">
      <c r="A46" s="27" t="inlineStr">
        <is>
          <t>TC_045</t>
        </is>
      </c>
      <c r="B46" s="27" t="inlineStr">
        <is>
          <t>4. Search, Filters &amp; RFQ Quotes</t>
        </is>
      </c>
      <c r="C46" s="27" t="inlineStr">
        <is>
          <t>R03</t>
        </is>
      </c>
      <c r="D46" s="27" t="inlineStr">
        <is>
          <t>Sort search results by Price: Low to High</t>
        </is>
      </c>
      <c r="E46" s="27" t="inlineStr">
        <is>
          <t>Results ordered in strictly ascending price sequence.</t>
        </is>
      </c>
      <c r="F46" s="27" t="inlineStr">
        <is>
          <t>As expected</t>
        </is>
      </c>
      <c r="G46" s="28" t="inlineStr">
        <is>
          <t>Pass</t>
        </is>
      </c>
      <c r="H46" s="27" t="inlineStr"/>
    </row>
    <row r="47">
      <c r="A47" s="29" t="inlineStr">
        <is>
          <t>TC_046</t>
        </is>
      </c>
      <c r="B47" s="29" t="inlineStr">
        <is>
          <t>4. Search, Filters &amp; RFQ Quotes</t>
        </is>
      </c>
      <c r="C47" s="29" t="inlineStr">
        <is>
          <t>R03</t>
        </is>
      </c>
      <c r="D47" s="29" t="inlineStr">
        <is>
          <t>Search non-existent product</t>
        </is>
      </c>
      <c r="E47" s="29" t="inlineStr">
        <is>
          <t>"No results found. Submit a BuyRequirement instead." displayed.</t>
        </is>
      </c>
      <c r="F47" s="29" t="inlineStr">
        <is>
          <t>As expected</t>
        </is>
      </c>
      <c r="G47" s="28" t="inlineStr">
        <is>
          <t>Pass</t>
        </is>
      </c>
      <c r="H47" s="29" t="inlineStr"/>
    </row>
    <row r="48">
      <c r="A48" s="27" t="inlineStr">
        <is>
          <t>TC_047</t>
        </is>
      </c>
      <c r="B48" s="27" t="inlineStr">
        <is>
          <t>4. Search, Filters &amp; RFQ Quotes</t>
        </is>
      </c>
      <c r="C48" s="27" t="inlineStr">
        <is>
          <t>R04</t>
        </is>
      </c>
      <c r="D48" s="27" t="inlineStr">
        <is>
          <t>Send single inquiry via "Get Best Price" button</t>
        </is>
      </c>
      <c r="E48" s="27" t="inlineStr">
        <is>
          <t>"Inquiry Sent Successfully" modal shown; SMS sent to buyer &amp; seller.</t>
        </is>
      </c>
      <c r="F48" s="27" t="inlineStr">
        <is>
          <t>As expected</t>
        </is>
      </c>
      <c r="G48" s="28" t="inlineStr">
        <is>
          <t>Pass</t>
        </is>
      </c>
      <c r="H48" s="27" t="inlineStr"/>
    </row>
    <row r="49">
      <c r="A49" s="29" t="inlineStr">
        <is>
          <t>TC_048</t>
        </is>
      </c>
      <c r="B49" s="29" t="inlineStr">
        <is>
          <t>4. Search, Filters &amp; RFQ Quotes</t>
        </is>
      </c>
      <c r="C49" s="29" t="inlineStr">
        <is>
          <t>R04</t>
        </is>
      </c>
      <c r="D49" s="29" t="inlineStr">
        <is>
          <t>Send inquiry while logged in as buyer</t>
        </is>
      </c>
      <c r="E49" s="29" t="inlineStr">
        <is>
          <t>Pre-filled contact details displayed; inquiry sent in 1 click.</t>
        </is>
      </c>
      <c r="F49" s="29" t="inlineStr">
        <is>
          <t>As expected</t>
        </is>
      </c>
      <c r="G49" s="28" t="inlineStr">
        <is>
          <t>Pass</t>
        </is>
      </c>
      <c r="H49" s="29" t="inlineStr"/>
    </row>
    <row r="50">
      <c r="A50" s="27" t="inlineStr">
        <is>
          <t>TC_049</t>
        </is>
      </c>
      <c r="B50" s="27" t="inlineStr">
        <is>
          <t>4. Search, Filters &amp; RFQ Quotes</t>
        </is>
      </c>
      <c r="C50" s="27" t="inlineStr">
        <is>
          <t>R04</t>
        </is>
      </c>
      <c r="D50" s="27" t="inlineStr">
        <is>
          <t>Submit BuyRequirement form (Post Requirement)</t>
        </is>
      </c>
      <c r="E50" s="27" t="inlineStr">
        <is>
          <t>BuyLead generated and posted to IndiaMART Lead Matcher.</t>
        </is>
      </c>
      <c r="F50" s="27" t="inlineStr">
        <is>
          <t>As expected</t>
        </is>
      </c>
      <c r="G50" s="28" t="inlineStr">
        <is>
          <t>Pass</t>
        </is>
      </c>
      <c r="H50" s="27" t="inlineStr"/>
    </row>
    <row r="51">
      <c r="A51" s="29" t="inlineStr">
        <is>
          <t>TC_050</t>
        </is>
      </c>
      <c r="B51" s="29" t="inlineStr">
        <is>
          <t>4. Search, Filters &amp; RFQ Quotes</t>
        </is>
      </c>
      <c r="C51" s="29" t="inlineStr">
        <is>
          <t>R04</t>
        </is>
      </c>
      <c r="D51" s="29" t="inlineStr">
        <is>
          <t>Submit BuyRequirement with missing quantity</t>
        </is>
      </c>
      <c r="E51" s="29" t="inlineStr">
        <is>
          <t>Error: "Please specify required quantity".</t>
        </is>
      </c>
      <c r="F51" s="29" t="inlineStr">
        <is>
          <t>As expected</t>
        </is>
      </c>
      <c r="G51" s="28" t="inlineStr">
        <is>
          <t>Pass</t>
        </is>
      </c>
      <c r="H51" s="29" t="inlineStr"/>
    </row>
    <row r="52">
      <c r="A52" s="27" t="inlineStr">
        <is>
          <t>TC_051</t>
        </is>
      </c>
      <c r="B52" s="27" t="inlineStr">
        <is>
          <t>4. Search, Filters &amp; RFQ Quotes</t>
        </is>
      </c>
      <c r="C52" s="27" t="inlineStr">
        <is>
          <t>R04</t>
        </is>
      </c>
      <c r="D52" s="27" t="inlineStr">
        <is>
          <t>Attach technical PDF drawing to BuyRequirement</t>
        </is>
      </c>
      <c r="E52" s="27" t="inlineStr">
        <is>
          <t>Attachment uploaded and linked to the lead sent to sellers.</t>
        </is>
      </c>
      <c r="F52" s="27" t="inlineStr">
        <is>
          <t>As expected</t>
        </is>
      </c>
      <c r="G52" s="28" t="inlineStr">
        <is>
          <t>Pass</t>
        </is>
      </c>
      <c r="H52" s="27" t="inlineStr"/>
    </row>
    <row r="53">
      <c r="A53" s="29" t="inlineStr">
        <is>
          <t>TC_052</t>
        </is>
      </c>
      <c r="B53" s="29" t="inlineStr">
        <is>
          <t>5. Lead Management &amp; CRM</t>
        </is>
      </c>
      <c r="C53" s="29" t="inlineStr">
        <is>
          <t>R04</t>
        </is>
      </c>
      <c r="D53" s="29" t="inlineStr">
        <is>
          <t>Multi-supplier inquiry distribution</t>
        </is>
      </c>
      <c r="E53" s="29" t="inlineStr">
        <is>
          <t>Inquiry routed to top 5 matched local sellers simultaneously.</t>
        </is>
      </c>
      <c r="F53" s="29" t="inlineStr">
        <is>
          <t>As expected</t>
        </is>
      </c>
      <c r="G53" s="28" t="inlineStr">
        <is>
          <t>Pass</t>
        </is>
      </c>
      <c r="H53" s="29" t="inlineStr"/>
    </row>
    <row r="54">
      <c r="A54" s="27" t="inlineStr">
        <is>
          <t>TC_053</t>
        </is>
      </c>
      <c r="B54" s="27" t="inlineStr">
        <is>
          <t>5. Lead Management &amp; CRM</t>
        </is>
      </c>
      <c r="C54" s="27" t="inlineStr">
        <is>
          <t>R04</t>
        </is>
      </c>
      <c r="D54" s="27" t="inlineStr">
        <is>
          <t>Buyer phone verification via OTP during inquiry</t>
        </is>
      </c>
      <c r="E54" s="27" t="inlineStr">
        <is>
          <t>Requirement validated only after successful OTP entry.</t>
        </is>
      </c>
      <c r="F54" s="27" t="inlineStr">
        <is>
          <t>As expected</t>
        </is>
      </c>
      <c r="G54" s="28" t="inlineStr">
        <is>
          <t>Pass</t>
        </is>
      </c>
      <c r="H54" s="27" t="inlineStr"/>
    </row>
    <row r="55">
      <c r="A55" s="29" t="inlineStr">
        <is>
          <t>TC_054</t>
        </is>
      </c>
      <c r="B55" s="29" t="inlineStr">
        <is>
          <t>5. Lead Management &amp; CRM</t>
        </is>
      </c>
      <c r="C55" s="29" t="inlineStr">
        <is>
          <t>R04</t>
        </is>
      </c>
      <c r="D55" s="29" t="inlineStr">
        <is>
          <t>Click-to-Call seller phone number</t>
        </is>
      </c>
      <c r="E55" s="29" t="inlineStr">
        <is>
          <t>Phone dialer opens pre-populated with IndiaMART virtual/masked number.</t>
        </is>
      </c>
      <c r="F55" s="29" t="inlineStr">
        <is>
          <t>As expected</t>
        </is>
      </c>
      <c r="G55" s="28" t="inlineStr">
        <is>
          <t>Pass</t>
        </is>
      </c>
      <c r="H55" s="29" t="inlineStr"/>
    </row>
    <row r="56">
      <c r="A56" s="27" t="inlineStr">
        <is>
          <t>TC_055</t>
        </is>
      </c>
      <c r="B56" s="27" t="inlineStr">
        <is>
          <t>5. Lead Management &amp; CRM</t>
        </is>
      </c>
      <c r="C56" s="27" t="inlineStr">
        <is>
          <t>R04</t>
        </is>
      </c>
      <c r="D56" s="27" t="inlineStr">
        <is>
          <t>View seller location on embedded map</t>
        </is>
      </c>
      <c r="E56" s="27" t="inlineStr">
        <is>
          <t>Google Maps widget opens with accurate location marker.</t>
        </is>
      </c>
      <c r="F56" s="27" t="inlineStr">
        <is>
          <t>As expected</t>
        </is>
      </c>
      <c r="G56" s="28" t="inlineStr">
        <is>
          <t>Pass</t>
        </is>
      </c>
      <c r="H56" s="27" t="inlineStr"/>
    </row>
    <row r="57">
      <c r="A57" s="29" t="inlineStr">
        <is>
          <t>TC_056</t>
        </is>
      </c>
      <c r="B57" s="29" t="inlineStr">
        <is>
          <t>3. Catalog &amp; Product Management</t>
        </is>
      </c>
      <c r="C57" s="29" t="inlineStr">
        <is>
          <t>R04</t>
        </is>
      </c>
      <c r="D57" s="29" t="inlineStr">
        <is>
          <t>Download supplier PDF brochure</t>
        </is>
      </c>
      <c r="E57" s="29" t="inlineStr">
        <is>
          <t>File downloads to local device storage cleanly.</t>
        </is>
      </c>
      <c r="F57" s="29" t="inlineStr">
        <is>
          <t>As expected</t>
        </is>
      </c>
      <c r="G57" s="28" t="inlineStr">
        <is>
          <t>Pass</t>
        </is>
      </c>
      <c r="H57" s="29" t="inlineStr"/>
    </row>
    <row r="58">
      <c r="A58" s="27" t="inlineStr">
        <is>
          <t>TC_057</t>
        </is>
      </c>
      <c r="B58" s="27" t="inlineStr">
        <is>
          <t>5. Lead Management &amp; CRM</t>
        </is>
      </c>
      <c r="C58" s="27" t="inlineStr">
        <is>
          <t>R04</t>
        </is>
      </c>
      <c r="D58" s="27" t="inlineStr">
        <is>
          <t>Report seller listing (Spam / Fake profile)</t>
        </is>
      </c>
      <c r="E58" s="27" t="inlineStr">
        <is>
          <t>Confirmation shown; complaint queued for internal compliance.</t>
        </is>
      </c>
      <c r="F58" s="27" t="inlineStr">
        <is>
          <t>As expected</t>
        </is>
      </c>
      <c r="G58" s="28" t="inlineStr">
        <is>
          <t>Pass</t>
        </is>
      </c>
      <c r="H58" s="27" t="inlineStr"/>
    </row>
    <row r="59">
      <c r="A59" s="29" t="inlineStr">
        <is>
          <t>TC_058</t>
        </is>
      </c>
      <c r="B59" s="29" t="inlineStr">
        <is>
          <t>5. Lead Management &amp; CRM</t>
        </is>
      </c>
      <c r="C59" s="29" t="inlineStr">
        <is>
          <t>R04</t>
        </is>
      </c>
      <c r="D59" s="29" t="inlineStr">
        <is>
          <t>Bookmark seller profile (Save to Favorites)</t>
        </is>
      </c>
      <c r="E59" s="29" t="inlineStr">
        <is>
          <t>Supplier added to buyer's "Saved Suppliers" list.</t>
        </is>
      </c>
      <c r="F59" s="29" t="inlineStr">
        <is>
          <t>As expected</t>
        </is>
      </c>
      <c r="G59" s="28" t="inlineStr">
        <is>
          <t>Pass</t>
        </is>
      </c>
      <c r="H59" s="29" t="inlineStr"/>
    </row>
    <row r="60">
      <c r="A60" s="27" t="inlineStr">
        <is>
          <t>TC_059</t>
        </is>
      </c>
      <c r="B60" s="27" t="inlineStr">
        <is>
          <t>4. Search, Filters &amp; RFQ Quotes</t>
        </is>
      </c>
      <c r="C60" s="27" t="inlineStr">
        <is>
          <t>R04</t>
        </is>
      </c>
      <c r="D60" s="27" t="inlineStr">
        <is>
          <t>Search product by HSN code</t>
        </is>
      </c>
      <c r="E60" s="27" t="inlineStr">
        <is>
          <t>Industrial pumps categorized under HSN 8413 displayed.</t>
        </is>
      </c>
      <c r="F60" s="27" t="inlineStr">
        <is>
          <t>As expected</t>
        </is>
      </c>
      <c r="G60" s="28" t="inlineStr">
        <is>
          <t>Pass</t>
        </is>
      </c>
      <c r="H60" s="27" t="inlineStr"/>
    </row>
    <row r="61">
      <c r="A61" s="29" t="inlineStr">
        <is>
          <t>TC_060</t>
        </is>
      </c>
      <c r="B61" s="29" t="inlineStr">
        <is>
          <t>7. Mobile App &amp; Real-Time Push</t>
        </is>
      </c>
      <c r="C61" s="29" t="inlineStr">
        <is>
          <t>R04</t>
        </is>
      </c>
      <c r="D61" s="29" t="inlineStr">
        <is>
          <t>Voice search functionality on app</t>
        </is>
      </c>
      <c r="E61" s="29" t="inlineStr">
        <is>
          <t>Audio transcribed accurately and relevant search executed.</t>
        </is>
      </c>
      <c r="F61" s="29" t="inlineStr">
        <is>
          <t>As expected</t>
        </is>
      </c>
      <c r="G61" s="28" t="inlineStr">
        <is>
          <t>Pass</t>
        </is>
      </c>
      <c r="H61" s="29" t="inlineStr"/>
    </row>
    <row r="62">
      <c r="A62" s="27" t="inlineStr">
        <is>
          <t>TC_061</t>
        </is>
      </c>
      <c r="B62" s="27" t="inlineStr">
        <is>
          <t>5. Lead Management &amp; CRM</t>
        </is>
      </c>
      <c r="C62" s="27" t="inlineStr">
        <is>
          <t>R05</t>
        </is>
      </c>
      <c r="D62" s="27" t="inlineStr">
        <is>
          <t>Consume 1 BuyLead from active paid balance</t>
        </is>
      </c>
      <c r="E62" s="27" t="inlineStr">
        <is>
          <t>Balance decrements by 1; buyer phone number name GST revealed.</t>
        </is>
      </c>
      <c r="F62" s="27" t="inlineStr">
        <is>
          <t>As expected</t>
        </is>
      </c>
      <c r="G62" s="28" t="inlineStr">
        <is>
          <t>Pass</t>
        </is>
      </c>
      <c r="H62" s="27" t="inlineStr"/>
    </row>
    <row r="63">
      <c r="A63" s="29" t="inlineStr">
        <is>
          <t>TC_062</t>
        </is>
      </c>
      <c r="B63" s="29" t="inlineStr">
        <is>
          <t>5. Lead Management &amp; CRM</t>
        </is>
      </c>
      <c r="C63" s="29" t="inlineStr">
        <is>
          <t>R05</t>
        </is>
      </c>
      <c r="D63" s="29" t="inlineStr">
        <is>
          <t>Attempt BuyLead consumption with zero balance</t>
        </is>
      </c>
      <c r="E63" s="29" t="inlineStr">
        <is>
          <t>Modal pops up: "BuyLead balance low. Click to recharge package."</t>
        </is>
      </c>
      <c r="F63" s="29" t="inlineStr">
        <is>
          <t>As expected</t>
        </is>
      </c>
      <c r="G63" s="28" t="inlineStr">
        <is>
          <t>Pass</t>
        </is>
      </c>
      <c r="H63" s="29" t="inlineStr"/>
    </row>
    <row r="64">
      <c r="A64" s="27" t="inlineStr">
        <is>
          <t>TC_063</t>
        </is>
      </c>
      <c r="B64" s="27" t="inlineStr">
        <is>
          <t>5. Lead Management &amp; CRM</t>
        </is>
      </c>
      <c r="C64" s="27" t="inlineStr">
        <is>
          <t>R05</t>
        </is>
      </c>
      <c r="D64" s="27" t="inlineStr">
        <is>
          <t>Auto-replenishment of weekly free BuyLeads</t>
        </is>
      </c>
      <c r="E64" s="27" t="inlineStr">
        <is>
          <t>Free weekly allocation reset to default subscription limit (e.g. 10).</t>
        </is>
      </c>
      <c r="F64" s="27" t="inlineStr">
        <is>
          <t>As expected</t>
        </is>
      </c>
      <c r="G64" s="28" t="inlineStr">
        <is>
          <t>Pass</t>
        </is>
      </c>
      <c r="H64" s="27" t="inlineStr"/>
    </row>
    <row r="65">
      <c r="A65" s="29" t="inlineStr">
        <is>
          <t>TC_064</t>
        </is>
      </c>
      <c r="B65" s="29" t="inlineStr">
        <is>
          <t>5. Lead Management &amp; CRM</t>
        </is>
      </c>
      <c r="C65" s="29" t="inlineStr">
        <is>
          <t>R05</t>
        </is>
      </c>
      <c r="D65" s="29" t="inlineStr">
        <is>
          <t>Filter BuyLeads by location</t>
        </is>
      </c>
      <c r="E65" s="29" t="inlineStr">
        <is>
          <t>Lead list updates to display inquiries originating in Maharashtra.</t>
        </is>
      </c>
      <c r="F65" s="29" t="inlineStr">
        <is>
          <t>As expected</t>
        </is>
      </c>
      <c r="G65" s="28" t="inlineStr">
        <is>
          <t>Pass</t>
        </is>
      </c>
      <c r="H65" s="29" t="inlineStr"/>
    </row>
    <row r="66">
      <c r="A66" s="27" t="inlineStr">
        <is>
          <t>TC_065</t>
        </is>
      </c>
      <c r="B66" s="27" t="inlineStr">
        <is>
          <t>5. Lead Management &amp; CRM</t>
        </is>
      </c>
      <c r="C66" s="27" t="inlineStr">
        <is>
          <t>R05</t>
        </is>
      </c>
      <c r="D66" s="27" t="inlineStr">
        <is>
          <t>Filter BuyLeads by minimum order value</t>
        </is>
      </c>
      <c r="E66" s="27" t="inlineStr">
        <is>
          <t>Leads with requirement value below ₹1 Lakh hidden.</t>
        </is>
      </c>
      <c r="F66" s="27" t="inlineStr">
        <is>
          <t>As expected</t>
        </is>
      </c>
      <c r="G66" s="28" t="inlineStr">
        <is>
          <t>Pass</t>
        </is>
      </c>
      <c r="H66" s="27" t="inlineStr"/>
    </row>
    <row r="67">
      <c r="A67" s="29" t="inlineStr">
        <is>
          <t>TC_066</t>
        </is>
      </c>
      <c r="B67" s="29" t="inlineStr">
        <is>
          <t>5. Lead Management &amp; CRM</t>
        </is>
      </c>
      <c r="C67" s="29" t="inlineStr">
        <is>
          <t>R05</t>
        </is>
      </c>
      <c r="D67" s="29" t="inlineStr">
        <is>
          <t>Send instant quotation via WhatsApp</t>
        </is>
      </c>
      <c r="E67" s="29" t="inlineStr">
        <is>
          <t>WhatsApp Web/App opens with pre-formatted quote and buyer number.</t>
        </is>
      </c>
      <c r="F67" s="29" t="inlineStr">
        <is>
          <t>As expected</t>
        </is>
      </c>
      <c r="G67" s="28" t="inlineStr">
        <is>
          <t>Pass</t>
        </is>
      </c>
      <c r="H67" s="29" t="inlineStr"/>
    </row>
    <row r="68">
      <c r="A68" s="27" t="inlineStr">
        <is>
          <t>TC_067</t>
        </is>
      </c>
      <c r="B68" s="27" t="inlineStr">
        <is>
          <t>5. Lead Management &amp; CRM</t>
        </is>
      </c>
      <c r="C68" s="27" t="inlineStr">
        <is>
          <t>R05</t>
        </is>
      </c>
      <c r="D68" s="27" t="inlineStr">
        <is>
          <t>Send quotation via Email template</t>
        </is>
      </c>
      <c r="E68" s="27" t="inlineStr">
        <is>
          <t>Professional branded PDF generated and emailed to buyer.</t>
        </is>
      </c>
      <c r="F68" s="27" t="inlineStr">
        <is>
          <t>As expected</t>
        </is>
      </c>
      <c r="G68" s="28" t="inlineStr">
        <is>
          <t>Pass</t>
        </is>
      </c>
      <c r="H68" s="27" t="inlineStr"/>
    </row>
    <row r="69">
      <c r="A69" s="29" t="inlineStr">
        <is>
          <t>TC_068</t>
        </is>
      </c>
      <c r="B69" s="29" t="inlineStr">
        <is>
          <t>5. Lead Management &amp; CRM</t>
        </is>
      </c>
      <c r="C69" s="29" t="inlineStr">
        <is>
          <t>R05</t>
        </is>
      </c>
      <c r="D69" s="29" t="inlineStr">
        <is>
          <t>Mark lead status as "Contacted"</t>
        </is>
      </c>
      <c r="E69" s="29" t="inlineStr">
        <is>
          <t>Lead card updates tag color and moves to "In Progress" tab.</t>
        </is>
      </c>
      <c r="F69" s="29" t="inlineStr">
        <is>
          <t>As expected</t>
        </is>
      </c>
      <c r="G69" s="28" t="inlineStr">
        <is>
          <t>Pass</t>
        </is>
      </c>
      <c r="H69" s="29" t="inlineStr"/>
    </row>
    <row r="70">
      <c r="A70" s="27" t="inlineStr">
        <is>
          <t>TC_069</t>
        </is>
      </c>
      <c r="B70" s="27" t="inlineStr">
        <is>
          <t>5. Lead Management &amp; CRM</t>
        </is>
      </c>
      <c r="C70" s="27" t="inlineStr">
        <is>
          <t>R05</t>
        </is>
      </c>
      <c r="D70" s="27" t="inlineStr">
        <is>
          <t>Reject irrelevant / invalid BuyLead</t>
        </is>
      </c>
      <c r="E70" s="27" t="inlineStr">
        <is>
          <t>Lead archived; matching algorithm adjusts future lead delivery.</t>
        </is>
      </c>
      <c r="F70" s="27" t="inlineStr">
        <is>
          <t>As expected</t>
        </is>
      </c>
      <c r="G70" s="28" t="inlineStr">
        <is>
          <t>Pass</t>
        </is>
      </c>
      <c r="H70" s="27" t="inlineStr"/>
    </row>
    <row r="71">
      <c r="A71" s="29" t="inlineStr">
        <is>
          <t>TC_070</t>
        </is>
      </c>
      <c r="B71" s="29" t="inlineStr">
        <is>
          <t>5. Lead Management &amp; CRM</t>
        </is>
      </c>
      <c r="C71" s="29" t="inlineStr">
        <is>
          <t>R05</t>
        </is>
      </c>
      <c r="D71" s="29" t="inlineStr">
        <is>
          <t>Claim BuyLead refund / credit point</t>
        </is>
      </c>
      <c r="E71" s="29" t="inlineStr">
        <is>
          <t>Dispute logged; lead credit refunded after automated verification.</t>
        </is>
      </c>
      <c r="F71" s="29" t="inlineStr">
        <is>
          <t>Behavior mismatched; issue logged</t>
        </is>
      </c>
      <c r="G71" s="30" t="inlineStr">
        <is>
          <t>Fail</t>
        </is>
      </c>
      <c r="H71" s="29" t="inlineStr">
        <is>
          <t>DEF-002</t>
        </is>
      </c>
    </row>
    <row r="72">
      <c r="A72" s="27" t="inlineStr">
        <is>
          <t>TC_071</t>
        </is>
      </c>
      <c r="B72" s="27" t="inlineStr">
        <is>
          <t>9. Analytics &amp; Paid Subscriptions</t>
        </is>
      </c>
      <c r="C72" s="27" t="inlineStr">
        <is>
          <t>R05</t>
        </is>
      </c>
      <c r="D72" s="27" t="inlineStr">
        <is>
          <t>Export selected leads to Excel</t>
        </is>
      </c>
      <c r="E72" s="27" t="inlineStr">
        <is>
          <t>CSV downloads with buyer contact details requirements and dates.</t>
        </is>
      </c>
      <c r="F72" s="27" t="inlineStr">
        <is>
          <t>As expected</t>
        </is>
      </c>
      <c r="G72" s="28" t="inlineStr">
        <is>
          <t>Pass</t>
        </is>
      </c>
      <c r="H72" s="27" t="inlineStr"/>
    </row>
    <row r="73">
      <c r="A73" s="29" t="inlineStr">
        <is>
          <t>TC_072</t>
        </is>
      </c>
      <c r="B73" s="29" t="inlineStr">
        <is>
          <t>5. Lead Management &amp; CRM</t>
        </is>
      </c>
      <c r="C73" s="29" t="inlineStr">
        <is>
          <t>R05</t>
        </is>
      </c>
      <c r="D73" s="29" t="inlineStr">
        <is>
          <t>Add internal private note to lead record</t>
        </is>
      </c>
      <c r="E73" s="29" t="inlineStr">
        <is>
          <t>Private note saved; visible only to seller account users.</t>
        </is>
      </c>
      <c r="F73" s="29" t="inlineStr">
        <is>
          <t>As expected</t>
        </is>
      </c>
      <c r="G73" s="28" t="inlineStr">
        <is>
          <t>Pass</t>
        </is>
      </c>
      <c r="H73" s="29" t="inlineStr"/>
    </row>
    <row r="74">
      <c r="A74" s="27" t="inlineStr">
        <is>
          <t>TC_073</t>
        </is>
      </c>
      <c r="B74" s="27" t="inlineStr">
        <is>
          <t>2. Seller Profile &amp; Business Settings</t>
        </is>
      </c>
      <c r="C74" s="27" t="inlineStr">
        <is>
          <t>R05</t>
        </is>
      </c>
      <c r="D74" s="27" t="inlineStr">
        <is>
          <t>Assign lead to sub-user (Sales Team member)</t>
        </is>
      </c>
      <c r="E74" s="27" t="inlineStr">
        <is>
          <t>Lead transferred to sub-user's dashboard view with notification.</t>
        </is>
      </c>
      <c r="F74" s="27" t="inlineStr">
        <is>
          <t>As expected</t>
        </is>
      </c>
      <c r="G74" s="28" t="inlineStr">
        <is>
          <t>Pass</t>
        </is>
      </c>
      <c r="H74" s="27" t="inlineStr"/>
    </row>
    <row r="75">
      <c r="A75" s="29" t="inlineStr">
        <is>
          <t>TC_074</t>
        </is>
      </c>
      <c r="B75" s="29" t="inlineStr">
        <is>
          <t>7. Mobile App &amp; Real-Time Push</t>
        </is>
      </c>
      <c r="C75" s="29" t="inlineStr">
        <is>
          <t>R05</t>
        </is>
      </c>
      <c r="D75" s="29" t="inlineStr">
        <is>
          <t>Check real-time Lead Push Notification</t>
        </is>
      </c>
      <c r="E75" s="29" t="inlineStr">
        <is>
          <t>Mobile push notification arrives within 5 seconds.</t>
        </is>
      </c>
      <c r="F75" s="29" t="inlineStr">
        <is>
          <t>As expected</t>
        </is>
      </c>
      <c r="G75" s="28" t="inlineStr">
        <is>
          <t>Pass</t>
        </is>
      </c>
      <c r="H75" s="29" t="inlineStr"/>
    </row>
    <row r="76">
      <c r="A76" s="27" t="inlineStr">
        <is>
          <t>TC_075</t>
        </is>
      </c>
      <c r="B76" s="27" t="inlineStr">
        <is>
          <t>7. Mobile App &amp; Real-Time Push</t>
        </is>
      </c>
      <c r="C76" s="27" t="inlineStr">
        <is>
          <t>R05</t>
        </is>
      </c>
      <c r="D76" s="27" t="inlineStr">
        <is>
          <t>Automated SMS auto-responder trigger</t>
        </is>
      </c>
      <c r="E76" s="27" t="inlineStr">
        <is>
          <t>System automatically sends customized greeting SMS to buyer.</t>
        </is>
      </c>
      <c r="F76" s="27" t="inlineStr">
        <is>
          <t>As expected</t>
        </is>
      </c>
      <c r="G76" s="28" t="inlineStr">
        <is>
          <t>Pass</t>
        </is>
      </c>
      <c r="H76" s="27" t="inlineStr"/>
    </row>
    <row r="77">
      <c r="A77" s="29" t="inlineStr">
        <is>
          <t>TC_076</t>
        </is>
      </c>
      <c r="B77" s="29" t="inlineStr">
        <is>
          <t>8. Security, Session &amp; Compliance</t>
        </is>
      </c>
      <c r="C77" s="29" t="inlineStr">
        <is>
          <t>R05</t>
        </is>
      </c>
      <c r="D77" s="29" t="inlineStr">
        <is>
          <t>Block persistent spam buyer</t>
        </is>
      </c>
      <c r="E77" s="29" t="inlineStr">
        <is>
          <t>Future inquiries from this mobile/email suppressed automatically.</t>
        </is>
      </c>
      <c r="F77" s="29" t="inlineStr">
        <is>
          <t>As expected</t>
        </is>
      </c>
      <c r="G77" s="28" t="inlineStr">
        <is>
          <t>Pass</t>
        </is>
      </c>
      <c r="H77" s="29" t="inlineStr"/>
    </row>
    <row r="78">
      <c r="A78" s="27" t="inlineStr">
        <is>
          <t>TC_077</t>
        </is>
      </c>
      <c r="B78" s="27" t="inlineStr">
        <is>
          <t>9. Analytics &amp; Paid Subscriptions</t>
        </is>
      </c>
      <c r="C78" s="27" t="inlineStr">
        <is>
          <t>R05</t>
        </is>
      </c>
      <c r="D78" s="27" t="inlineStr">
        <is>
          <t>View Lead Consumption History &amp; analytics</t>
        </is>
      </c>
      <c r="E78" s="27" t="inlineStr">
        <is>
          <t>Graph displays leads consumed response times and conversion rates.</t>
        </is>
      </c>
      <c r="F78" s="27" t="inlineStr">
        <is>
          <t>As expected</t>
        </is>
      </c>
      <c r="G78" s="28" t="inlineStr">
        <is>
          <t>Pass</t>
        </is>
      </c>
      <c r="H78" s="27" t="inlineStr"/>
    </row>
    <row r="79">
      <c r="A79" s="29" t="inlineStr">
        <is>
          <t>TC_078</t>
        </is>
      </c>
      <c r="B79" s="29" t="inlineStr">
        <is>
          <t>9. Analytics &amp; Paid Subscriptions</t>
        </is>
      </c>
      <c r="C79" s="29" t="inlineStr">
        <is>
          <t>R05</t>
        </is>
      </c>
      <c r="D79" s="29" t="inlineStr">
        <is>
          <t>Consume location-restricted lead</t>
        </is>
      </c>
      <c r="E79" s="29" t="inlineStr">
        <is>
          <t>System blocks purchase: "Upgrade package to access leads outside region".</t>
        </is>
      </c>
      <c r="F79" s="29" t="inlineStr">
        <is>
          <t>As expected</t>
        </is>
      </c>
      <c r="G79" s="28" t="inlineStr">
        <is>
          <t>Pass</t>
        </is>
      </c>
      <c r="H79" s="29" t="inlineStr"/>
    </row>
    <row r="80">
      <c r="A80" s="27" t="inlineStr">
        <is>
          <t>TC_079</t>
        </is>
      </c>
      <c r="B80" s="27" t="inlineStr">
        <is>
          <t>5. Lead Management &amp; CRM</t>
        </is>
      </c>
      <c r="C80" s="27" t="inlineStr">
        <is>
          <t>R05</t>
        </is>
      </c>
      <c r="D80" s="27" t="inlineStr">
        <is>
          <t>Lead expiry time verification</t>
        </is>
      </c>
      <c r="E80" s="27" t="inlineStr">
        <is>
          <t>Lead becomes non-exclusive or moves to public marketplace pool.</t>
        </is>
      </c>
      <c r="F80" s="27" t="inlineStr">
        <is>
          <t>As expected</t>
        </is>
      </c>
      <c r="G80" s="28" t="inlineStr">
        <is>
          <t>Pass</t>
        </is>
      </c>
      <c r="H80" s="27" t="inlineStr"/>
    </row>
    <row r="81">
      <c r="A81" s="29" t="inlineStr">
        <is>
          <t>TC_080</t>
        </is>
      </c>
      <c r="B81" s="29" t="inlineStr">
        <is>
          <t>5. Lead Management &amp; CRM</t>
        </is>
      </c>
      <c r="C81" s="29" t="inlineStr">
        <is>
          <t>R06</t>
        </is>
      </c>
      <c r="D81" s="29" t="inlineStr">
        <is>
          <t>Search inside Lead Manager database</t>
        </is>
      </c>
      <c r="E81" s="29" t="inlineStr">
        <is>
          <t>Matching lead retrieved instantly.</t>
        </is>
      </c>
      <c r="F81" s="29" t="inlineStr">
        <is>
          <t>As expected</t>
        </is>
      </c>
      <c r="G81" s="28" t="inlineStr">
        <is>
          <t>Pass</t>
        </is>
      </c>
      <c r="H81" s="29" t="inlineStr"/>
    </row>
    <row r="82">
      <c r="A82" s="27" t="inlineStr">
        <is>
          <t>TC_081</t>
        </is>
      </c>
      <c r="B82" s="27" t="inlineStr">
        <is>
          <t>6. Payments, Escrow &amp; Invoicing</t>
        </is>
      </c>
      <c r="C82" s="27" t="inlineStr">
        <is>
          <t>R06</t>
        </is>
      </c>
      <c r="D82" s="27" t="inlineStr">
        <is>
          <t>Pay subscription fee via UPI (PhonePe/Google Pay)</t>
        </is>
      </c>
      <c r="E82" s="27" t="inlineStr">
        <is>
          <t>Payment successful; plan activated instantly; GST invoice issued.</t>
        </is>
      </c>
      <c r="F82" s="27" t="inlineStr">
        <is>
          <t>As expected</t>
        </is>
      </c>
      <c r="G82" s="28" t="inlineStr">
        <is>
          <t>Pass</t>
        </is>
      </c>
      <c r="H82" s="27" t="inlineStr"/>
    </row>
    <row r="83">
      <c r="A83" s="29" t="inlineStr">
        <is>
          <t>TC_082</t>
        </is>
      </c>
      <c r="B83" s="29" t="inlineStr">
        <is>
          <t>6. Payments, Escrow &amp; Invoicing</t>
        </is>
      </c>
      <c r="C83" s="29" t="inlineStr">
        <is>
          <t>R06</t>
        </is>
      </c>
      <c r="D83" s="29" t="inlineStr">
        <is>
          <t>Pay via Net Banking with invalid credentials</t>
        </is>
      </c>
      <c r="E83" s="29" t="inlineStr">
        <is>
          <t>Payment fails; user redirected back with "Transaction Cancelled/Failed".</t>
        </is>
      </c>
      <c r="F83" s="29" t="inlineStr">
        <is>
          <t>As expected</t>
        </is>
      </c>
      <c r="G83" s="28" t="inlineStr">
        <is>
          <t>Pass</t>
        </is>
      </c>
      <c r="H83" s="29" t="inlineStr"/>
    </row>
    <row r="84">
      <c r="A84" s="27" t="inlineStr">
        <is>
          <t>TC_083</t>
        </is>
      </c>
      <c r="B84" s="27" t="inlineStr">
        <is>
          <t>6. Payments, Escrow &amp; Invoicing</t>
        </is>
      </c>
      <c r="C84" s="27" t="inlineStr">
        <is>
          <t>R06</t>
        </is>
      </c>
      <c r="D84" s="27" t="inlineStr">
        <is>
          <t>Pay via Credit Card with incorrect OTP</t>
        </is>
      </c>
      <c r="E84" s="27" t="inlineStr">
        <is>
          <t>Payment rejected by issuer bank; no deduction from credit card.</t>
        </is>
      </c>
      <c r="F84" s="27" t="inlineStr">
        <is>
          <t>As expected</t>
        </is>
      </c>
      <c r="G84" s="28" t="inlineStr">
        <is>
          <t>Pass</t>
        </is>
      </c>
      <c r="H84" s="27" t="inlineStr"/>
    </row>
    <row r="85">
      <c r="A85" s="29" t="inlineStr">
        <is>
          <t>TC_084</t>
        </is>
      </c>
      <c r="B85" s="29" t="inlineStr">
        <is>
          <t>6. Payments, Escrow &amp; Invoicing</t>
        </is>
      </c>
      <c r="C85" s="29" t="inlineStr">
        <is>
          <t>R06</t>
        </is>
      </c>
      <c r="D85" s="29" t="inlineStr">
        <is>
          <t>Automatic GST calculation on subscription checkout</t>
        </is>
      </c>
      <c r="E85" s="29" t="inlineStr">
        <is>
          <t>Displays: Base ₹30,000 + 18% GST (₹5,400) = Total ₹35,400.</t>
        </is>
      </c>
      <c r="F85" s="29" t="inlineStr">
        <is>
          <t>As expected</t>
        </is>
      </c>
      <c r="G85" s="28" t="inlineStr">
        <is>
          <t>Pass</t>
        </is>
      </c>
      <c r="H85" s="29" t="inlineStr"/>
    </row>
    <row r="86">
      <c r="A86" s="27" t="inlineStr">
        <is>
          <t>TC_085</t>
        </is>
      </c>
      <c r="B86" s="27" t="inlineStr">
        <is>
          <t>6. Payments, Escrow &amp; Invoicing</t>
        </is>
      </c>
      <c r="C86" s="27" t="inlineStr">
        <is>
          <t>R06</t>
        </is>
      </c>
      <c r="D86" s="27" t="inlineStr">
        <is>
          <t>Input buyer GSTIN during checkout for Tax Credit</t>
        </is>
      </c>
      <c r="E86" s="27" t="inlineStr">
        <is>
          <t>Tax Invoice generated contains buyer's GSTIN for ITC claiming.</t>
        </is>
      </c>
      <c r="F86" s="27" t="inlineStr">
        <is>
          <t>As expected</t>
        </is>
      </c>
      <c r="G86" s="28" t="inlineStr">
        <is>
          <t>Pass</t>
        </is>
      </c>
      <c r="H86" s="27" t="inlineStr"/>
    </row>
    <row r="87">
      <c r="A87" s="29" t="inlineStr">
        <is>
          <t>TC_086</t>
        </is>
      </c>
      <c r="B87" s="29" t="inlineStr">
        <is>
          <t>6. Payments, Escrow &amp; Invoicing</t>
        </is>
      </c>
      <c r="C87" s="29" t="inlineStr">
        <is>
          <t>R06</t>
        </is>
      </c>
      <c r="D87" s="29" t="inlineStr">
        <is>
          <t>EMI Payment option processing</t>
        </is>
      </c>
      <c r="E87" s="29" t="inlineStr">
        <is>
          <t>Payment processed on EMI terms; subscription activated immediately.</t>
        </is>
      </c>
      <c r="F87" s="29" t="inlineStr">
        <is>
          <t>As expected</t>
        </is>
      </c>
      <c r="G87" s="28" t="inlineStr">
        <is>
          <t>Pass</t>
        </is>
      </c>
      <c r="H87" s="29" t="inlineStr"/>
    </row>
    <row r="88">
      <c r="A88" s="27" t="inlineStr">
        <is>
          <t>TC_087</t>
        </is>
      </c>
      <c r="B88" s="27" t="inlineStr">
        <is>
          <t>6. Payments, Escrow &amp; Invoicing</t>
        </is>
      </c>
      <c r="C88" s="27" t="inlineStr">
        <is>
          <t>R06</t>
        </is>
      </c>
      <c r="D88" s="27" t="inlineStr">
        <is>
          <t>Download GST Tax Invoice PDF</t>
        </is>
      </c>
      <c r="E88" s="27" t="inlineStr">
        <is>
          <t>Compliant PDF invoice downloads with IndiaMART SAC code and GST numbers.</t>
        </is>
      </c>
      <c r="F88" s="27" t="inlineStr">
        <is>
          <t>As expected</t>
        </is>
      </c>
      <c r="G88" s="28" t="inlineStr">
        <is>
          <t>Pass</t>
        </is>
      </c>
      <c r="H88" s="27" t="inlineStr"/>
    </row>
    <row r="89">
      <c r="A89" s="29" t="inlineStr">
        <is>
          <t>TC_088</t>
        </is>
      </c>
      <c r="B89" s="29" t="inlineStr">
        <is>
          <t>8. Security, Session &amp; Compliance</t>
        </is>
      </c>
      <c r="C89" s="29" t="inlineStr">
        <is>
          <t>R06</t>
        </is>
      </c>
      <c r="D89" s="29" t="inlineStr">
        <is>
          <t>Session timeout after long inactivity</t>
        </is>
      </c>
      <c r="E89" s="29" t="inlineStr">
        <is>
          <t>Session expires; user prompted to re-login for security.</t>
        </is>
      </c>
      <c r="F89" s="29" t="inlineStr">
        <is>
          <t>As expected</t>
        </is>
      </c>
      <c r="G89" s="28" t="inlineStr">
        <is>
          <t>Pass</t>
        </is>
      </c>
      <c r="H89" s="29" t="inlineStr"/>
    </row>
    <row r="90">
      <c r="A90" s="27" t="inlineStr">
        <is>
          <t>TC_089</t>
        </is>
      </c>
      <c r="B90" s="27" t="inlineStr">
        <is>
          <t>8. Security, Session &amp; Compliance</t>
        </is>
      </c>
      <c r="C90" s="27" t="inlineStr">
        <is>
          <t>R06</t>
        </is>
      </c>
      <c r="D90" s="27" t="inlineStr">
        <is>
          <t>Concurrent logins on multiple devices</t>
        </is>
      </c>
      <c r="E90" s="27" t="inlineStr">
        <is>
          <t>Handled gracefully (notified or multi-session allowed per plan).</t>
        </is>
      </c>
      <c r="F90" s="27" t="inlineStr">
        <is>
          <t>As expected</t>
        </is>
      </c>
      <c r="G90" s="28" t="inlineStr">
        <is>
          <t>Pass</t>
        </is>
      </c>
      <c r="H90" s="27" t="inlineStr"/>
    </row>
    <row r="91">
      <c r="A91" s="29" t="inlineStr">
        <is>
          <t>TC_090</t>
        </is>
      </c>
      <c r="B91" s="29" t="inlineStr">
        <is>
          <t>8. Security, Session &amp; Compliance</t>
        </is>
      </c>
      <c r="C91" s="29" t="inlineStr">
        <is>
          <t>R06</t>
        </is>
      </c>
      <c r="D91" s="29" t="inlineStr">
        <is>
          <t>Password reset via OTP</t>
        </is>
      </c>
      <c r="E91" s="29" t="inlineStr">
        <is>
          <t>Password updated successfully; user logged out of old sessions.</t>
        </is>
      </c>
      <c r="F91" s="29" t="inlineStr">
        <is>
          <t>As expected</t>
        </is>
      </c>
      <c r="G91" s="28" t="inlineStr">
        <is>
          <t>Pass</t>
        </is>
      </c>
      <c r="H91" s="29" t="inlineStr"/>
    </row>
    <row r="92">
      <c r="A92" s="27" t="inlineStr">
        <is>
          <t>TC_091</t>
        </is>
      </c>
      <c r="B92" s="27" t="inlineStr">
        <is>
          <t>8. Security, Session &amp; Compliance</t>
        </is>
      </c>
      <c r="C92" s="27" t="inlineStr">
        <is>
          <t>R07</t>
        </is>
      </c>
      <c r="D92" s="27" t="inlineStr">
        <is>
          <t>SQL Injection vulnerability testing on search field</t>
        </is>
      </c>
      <c r="E92" s="27" t="inlineStr">
        <is>
          <t>Input sanitized safely; application presents standard error or empty page.</t>
        </is>
      </c>
      <c r="F92" s="27" t="inlineStr">
        <is>
          <t>As expected</t>
        </is>
      </c>
      <c r="G92" s="28" t="inlineStr">
        <is>
          <t>Pass</t>
        </is>
      </c>
      <c r="H92" s="27" t="inlineStr"/>
    </row>
    <row r="93">
      <c r="A93" s="29" t="inlineStr">
        <is>
          <t>TC_092</t>
        </is>
      </c>
      <c r="B93" s="29" t="inlineStr">
        <is>
          <t>8. Security, Session &amp; Compliance</t>
        </is>
      </c>
      <c r="C93" s="29" t="inlineStr">
        <is>
          <t>R07</t>
        </is>
      </c>
      <c r="D93" s="29" t="inlineStr">
        <is>
          <t>Cross-Site Scripting (XSS) in Product Description</t>
        </is>
      </c>
      <c r="E93" s="29" t="inlineStr">
        <is>
          <t>Input escaped cleanly; script execution blocked completely.</t>
        </is>
      </c>
      <c r="F93" s="29" t="inlineStr">
        <is>
          <t>As expected</t>
        </is>
      </c>
      <c r="G93" s="28" t="inlineStr">
        <is>
          <t>Pass</t>
        </is>
      </c>
      <c r="H93" s="29" t="inlineStr"/>
    </row>
    <row r="94">
      <c r="A94" s="27" t="inlineStr">
        <is>
          <t>TC_093</t>
        </is>
      </c>
      <c r="B94" s="27" t="inlineStr">
        <is>
          <t>6. Payments, Escrow &amp; Invoicing</t>
        </is>
      </c>
      <c r="C94" s="27" t="inlineStr">
        <is>
          <t>R07</t>
        </is>
      </c>
      <c r="D94" s="27" t="inlineStr">
        <is>
          <t>Check Pay With IndiaMART buyer protection link</t>
        </is>
      </c>
      <c r="E94" s="27" t="inlineStr">
        <is>
          <t>Secure payment gateway interface opens with seller details pre-filled.</t>
        </is>
      </c>
      <c r="F94" s="27" t="inlineStr">
        <is>
          <t>As expected</t>
        </is>
      </c>
      <c r="G94" s="28" t="inlineStr">
        <is>
          <t>Pass</t>
        </is>
      </c>
      <c r="H94" s="27" t="inlineStr"/>
    </row>
    <row r="95">
      <c r="A95" s="29" t="inlineStr">
        <is>
          <t>TC_094</t>
        </is>
      </c>
      <c r="B95" s="29" t="inlineStr">
        <is>
          <t>6. Payments, Escrow &amp; Invoicing</t>
        </is>
      </c>
      <c r="C95" s="29" t="inlineStr">
        <is>
          <t>R07</t>
        </is>
      </c>
      <c r="D95" s="29" t="inlineStr">
        <is>
          <t>Escrow refund request by buyer</t>
        </is>
      </c>
      <c r="E95" s="29" t="inlineStr">
        <is>
          <t>Escalation ticket opened in IndiaMART dispute center.</t>
        </is>
      </c>
      <c r="F95" s="29" t="inlineStr">
        <is>
          <t>As expected</t>
        </is>
      </c>
      <c r="G95" s="28" t="inlineStr">
        <is>
          <t>Pass</t>
        </is>
      </c>
      <c r="H95" s="29" t="inlineStr"/>
    </row>
    <row r="96">
      <c r="A96" s="27" t="inlineStr">
        <is>
          <t>TC_095</t>
        </is>
      </c>
      <c r="B96" s="27" t="inlineStr">
        <is>
          <t>2. Seller Profile &amp; Business Settings</t>
        </is>
      </c>
      <c r="C96" s="27" t="inlineStr">
        <is>
          <t>R07</t>
        </is>
      </c>
      <c r="D96" s="27" t="inlineStr">
        <is>
          <t>Multi-user Role Permissions (Admin vs Sub-account)</t>
        </is>
      </c>
      <c r="E96" s="27" t="inlineStr">
        <is>
          <t>Access Denied: "Only Account Owner/Admin can view billing details".</t>
        </is>
      </c>
      <c r="F96" s="27" t="inlineStr">
        <is>
          <t>As expected</t>
        </is>
      </c>
      <c r="G96" s="28" t="inlineStr">
        <is>
          <t>Pass</t>
        </is>
      </c>
      <c r="H96" s="27" t="inlineStr"/>
    </row>
    <row r="97">
      <c r="A97" s="29" t="inlineStr">
        <is>
          <t>TC_096</t>
        </is>
      </c>
      <c r="B97" s="29" t="inlineStr">
        <is>
          <t>9. Analytics &amp; Paid Subscriptions</t>
        </is>
      </c>
      <c r="C97" s="29" t="inlineStr">
        <is>
          <t>R07</t>
        </is>
      </c>
      <c r="D97" s="29" t="inlineStr">
        <is>
          <t>Instant notification on successful subscription renewal</t>
        </is>
      </c>
      <c r="E97" s="29" t="inlineStr">
        <is>
          <t>Success SMS email invoice and app push notification delivered.</t>
        </is>
      </c>
      <c r="F97" s="29" t="inlineStr">
        <is>
          <t>As expected</t>
        </is>
      </c>
      <c r="G97" s="28" t="inlineStr">
        <is>
          <t>Pass</t>
        </is>
      </c>
      <c r="H97" s="29" t="inlineStr"/>
    </row>
    <row r="98">
      <c r="A98" s="27" t="inlineStr">
        <is>
          <t>TC_097</t>
        </is>
      </c>
      <c r="B98" s="27" t="inlineStr">
        <is>
          <t>6. Payments, Escrow &amp; Invoicing</t>
        </is>
      </c>
      <c r="C98" s="27" t="inlineStr">
        <is>
          <t>R07</t>
        </is>
      </c>
      <c r="D98" s="27" t="inlineStr">
        <is>
          <t>Failed transaction retry mechanism</t>
        </is>
      </c>
      <c r="E98" s="27" t="inlineStr">
        <is>
          <t>System displays "Transaction Pending/Failed. Try Again" with retry button.</t>
        </is>
      </c>
      <c r="F98" s="27" t="inlineStr">
        <is>
          <t>As expected</t>
        </is>
      </c>
      <c r="G98" s="28" t="inlineStr">
        <is>
          <t>Pass</t>
        </is>
      </c>
      <c r="H98" s="27" t="inlineStr"/>
    </row>
    <row r="99">
      <c r="A99" s="29" t="inlineStr">
        <is>
          <t>TC_098</t>
        </is>
      </c>
      <c r="B99" s="29" t="inlineStr">
        <is>
          <t>7. Mobile App &amp; Real-Time Push</t>
        </is>
      </c>
      <c r="C99" s="29" t="inlineStr">
        <is>
          <t>R07</t>
        </is>
      </c>
      <c r="D99" s="29" t="inlineStr">
        <is>
          <t>Mobile app authorization token expiration</t>
        </is>
      </c>
      <c r="E99" s="29" t="inlineStr">
        <is>
          <t>App seamlessly redirects user to login screen without crashing.</t>
        </is>
      </c>
      <c r="F99" s="29" t="inlineStr">
        <is>
          <t>As expected</t>
        </is>
      </c>
      <c r="G99" s="28" t="inlineStr">
        <is>
          <t>Pass</t>
        </is>
      </c>
      <c r="H99" s="29" t="inlineStr"/>
    </row>
    <row r="100">
      <c r="A100" s="27" t="inlineStr">
        <is>
          <t>TC_099</t>
        </is>
      </c>
      <c r="B100" s="27" t="inlineStr">
        <is>
          <t>9. Analytics &amp; Paid Subscriptions</t>
        </is>
      </c>
      <c r="C100" s="27" t="inlineStr">
        <is>
          <t>R07</t>
        </is>
      </c>
      <c r="D100" s="27" t="inlineStr">
        <is>
          <t>Apply Discount Coupon Code on checkout</t>
        </is>
      </c>
      <c r="E100" s="27" t="inlineStr">
        <is>
          <t>Package price recalculated with 10% discount applied before tax.</t>
        </is>
      </c>
      <c r="F100" s="27" t="inlineStr">
        <is>
          <t>As expected</t>
        </is>
      </c>
      <c r="G100" s="28" t="inlineStr">
        <is>
          <t>Pass</t>
        </is>
      </c>
      <c r="H100" s="27" t="inlineStr"/>
    </row>
    <row r="101">
      <c r="A101" s="29" t="inlineStr">
        <is>
          <t>TC_100</t>
        </is>
      </c>
      <c r="B101" s="29" t="inlineStr">
        <is>
          <t>9. Analytics &amp; Paid Subscriptions</t>
        </is>
      </c>
      <c r="C101" s="29" t="inlineStr">
        <is>
          <t>R08</t>
        </is>
      </c>
      <c r="D101" s="29" t="inlineStr">
        <is>
          <t>Apply expired Discount Coupon Code</t>
        </is>
      </c>
      <c r="E101" s="29" t="inlineStr">
        <is>
          <t>Validation error displayed: "Coupon code expired or invalid".</t>
        </is>
      </c>
      <c r="F101" s="29" t="inlineStr">
        <is>
          <t>As expected</t>
        </is>
      </c>
      <c r="G101" s="28" t="inlineStr">
        <is>
          <t>Pass</t>
        </is>
      </c>
      <c r="H101" s="29" t="inlineStr"/>
    </row>
    <row r="102">
      <c r="A102" s="27" t="inlineStr">
        <is>
          <t>TC_101</t>
        </is>
      </c>
      <c r="B102" s="27" t="inlineStr">
        <is>
          <t>10. Platform, UI &amp; Performance</t>
        </is>
      </c>
      <c r="C102" s="27" t="inlineStr">
        <is>
          <t>R08</t>
        </is>
      </c>
      <c r="D102" s="27" t="inlineStr">
        <is>
          <t>Cross-browser compatibility verification</t>
        </is>
      </c>
      <c r="E102" s="27" t="inlineStr">
        <is>
          <t>UI elements fonts buttons and layout remain consistent across browsers.</t>
        </is>
      </c>
      <c r="F102" s="27" t="inlineStr">
        <is>
          <t>As expected</t>
        </is>
      </c>
      <c r="G102" s="28" t="inlineStr">
        <is>
          <t>Pass</t>
        </is>
      </c>
      <c r="H102" s="27" t="inlineStr"/>
    </row>
    <row r="103">
      <c r="A103" s="29" t="inlineStr">
        <is>
          <t>TC_102</t>
        </is>
      </c>
      <c r="B103" s="29" t="inlineStr">
        <is>
          <t>10. Platform, UI &amp; Performance</t>
        </is>
      </c>
      <c r="C103" s="29" t="inlineStr">
        <is>
          <t>R08</t>
        </is>
      </c>
      <c r="D103" s="29" t="inlineStr">
        <is>
          <t>Mobile responsive view testing</t>
        </is>
      </c>
      <c r="E103" s="29" t="inlineStr">
        <is>
          <t>Navigation adjusts to mobile drawer menu; viewports scale accurately.</t>
        </is>
      </c>
      <c r="F103" s="29" t="inlineStr">
        <is>
          <t>As expected</t>
        </is>
      </c>
      <c r="G103" s="28" t="inlineStr">
        <is>
          <t>Pass</t>
        </is>
      </c>
      <c r="H103" s="29" t="inlineStr"/>
    </row>
    <row r="104">
      <c r="A104" s="27" t="inlineStr">
        <is>
          <t>TC_103</t>
        </is>
      </c>
      <c r="B104" s="27" t="inlineStr">
        <is>
          <t>2. Seller Profile &amp; Business Settings</t>
        </is>
      </c>
      <c r="C104" s="27" t="inlineStr">
        <is>
          <t>R08</t>
        </is>
      </c>
      <c r="D104" s="27" t="inlineStr">
        <is>
          <t>Edit buyer email address with verification link</t>
        </is>
      </c>
      <c r="E104" s="27" t="inlineStr">
        <is>
          <t>Email address updated successfully; verified tag displayed.</t>
        </is>
      </c>
      <c r="F104" s="27" t="inlineStr">
        <is>
          <t>As expected</t>
        </is>
      </c>
      <c r="G104" s="28" t="inlineStr">
        <is>
          <t>Pass</t>
        </is>
      </c>
      <c r="H104" s="27" t="inlineStr"/>
    </row>
    <row r="105">
      <c r="A105" s="29" t="inlineStr">
        <is>
          <t>TC_104</t>
        </is>
      </c>
      <c r="B105" s="29" t="inlineStr">
        <is>
          <t>4. Search, Filters &amp; RFQ Quotes</t>
        </is>
      </c>
      <c r="C105" s="29" t="inlineStr">
        <is>
          <t>R08</t>
        </is>
      </c>
      <c r="D105" s="29" t="inlineStr">
        <is>
          <t>Post Request for Quotation (RFQ) with deadline</t>
        </is>
      </c>
      <c r="E105" s="29" t="inlineStr">
        <is>
          <t>RFQ archived automatically after 7 days; sellers notified of deadline.</t>
        </is>
      </c>
      <c r="F105" s="29" t="inlineStr">
        <is>
          <t>As expected</t>
        </is>
      </c>
      <c r="G105" s="28" t="inlineStr">
        <is>
          <t>Pass</t>
        </is>
      </c>
      <c r="H105" s="29" t="inlineStr"/>
    </row>
    <row r="106">
      <c r="A106" s="27" t="inlineStr">
        <is>
          <t>TC_105</t>
        </is>
      </c>
      <c r="B106" s="27" t="inlineStr">
        <is>
          <t>10. Platform, UI &amp; Performance</t>
        </is>
      </c>
      <c r="C106" s="27" t="inlineStr">
        <is>
          <t>R08</t>
        </is>
      </c>
      <c r="D106" s="27" t="inlineStr">
        <is>
          <t>View website in Hindi regional language</t>
        </is>
      </c>
      <c r="E106" s="27" t="inlineStr">
        <is>
          <t>Navigation labels search placeholders and buttons translate to Hindi.</t>
        </is>
      </c>
      <c r="F106" s="27" t="inlineStr">
        <is>
          <t>As expected</t>
        </is>
      </c>
      <c r="G106" s="28" t="inlineStr">
        <is>
          <t>Pass</t>
        </is>
      </c>
      <c r="H106" s="27" t="inlineStr"/>
    </row>
    <row r="107">
      <c r="A107" s="29" t="inlineStr">
        <is>
          <t>TC_106</t>
        </is>
      </c>
      <c r="B107" s="29" t="inlineStr">
        <is>
          <t>10. Platform, UI &amp; Performance</t>
        </is>
      </c>
      <c r="C107" s="29" t="inlineStr">
        <is>
          <t>R08</t>
        </is>
      </c>
      <c r="D107" s="29" t="inlineStr">
        <is>
          <t>View website in Tamil regional language</t>
        </is>
      </c>
      <c r="E107" s="29" t="inlineStr">
        <is>
          <t>Core site navigation and static labels render accurately in Tamil script.</t>
        </is>
      </c>
      <c r="F107" s="29" t="inlineStr">
        <is>
          <t>As expected</t>
        </is>
      </c>
      <c r="G107" s="28" t="inlineStr">
        <is>
          <t>Pass</t>
        </is>
      </c>
      <c r="H107" s="29" t="inlineStr"/>
    </row>
    <row r="108">
      <c r="A108" s="27" t="inlineStr">
        <is>
          <t>TC_107</t>
        </is>
      </c>
      <c r="B108" s="27" t="inlineStr">
        <is>
          <t>7. Mobile App &amp; Real-Time Push</t>
        </is>
      </c>
      <c r="C108" s="27" t="inlineStr">
        <is>
          <t>R08</t>
        </is>
      </c>
      <c r="D108" s="27" t="inlineStr">
        <is>
          <t>Send real-time instant message to seller via chat</t>
        </is>
      </c>
      <c r="E108" s="27" t="inlineStr">
        <is>
          <t>Message delivered instantly in seller's chat window.</t>
        </is>
      </c>
      <c r="F108" s="27" t="inlineStr">
        <is>
          <t>As expected</t>
        </is>
      </c>
      <c r="G108" s="28" t="inlineStr">
        <is>
          <t>Pass</t>
        </is>
      </c>
      <c r="H108" s="27" t="inlineStr"/>
    </row>
    <row r="109">
      <c r="A109" s="29" t="inlineStr">
        <is>
          <t>TC_108</t>
        </is>
      </c>
      <c r="B109" s="29" t="inlineStr">
        <is>
          <t>7. Mobile App &amp; Real-Time Push</t>
        </is>
      </c>
      <c r="C109" s="29" t="inlineStr">
        <is>
          <t>R09</t>
        </is>
      </c>
      <c r="D109" s="29" t="inlineStr">
        <is>
          <t>Send attachment via seller-buyer chat window</t>
        </is>
      </c>
      <c r="E109" s="29" t="inlineStr">
        <is>
          <t>Image uploaded and previewed inside chat window.</t>
        </is>
      </c>
      <c r="F109" s="29" t="inlineStr">
        <is>
          <t>As expected</t>
        </is>
      </c>
      <c r="G109" s="28" t="inlineStr">
        <is>
          <t>Pass</t>
        </is>
      </c>
      <c r="H109" s="29" t="inlineStr"/>
    </row>
    <row r="110">
      <c r="A110" s="27" t="inlineStr">
        <is>
          <t>TC_109</t>
        </is>
      </c>
      <c r="B110" s="27" t="inlineStr">
        <is>
          <t>2. Seller Profile &amp; Business Settings</t>
        </is>
      </c>
      <c r="C110" s="27" t="inlineStr">
        <is>
          <t>R09</t>
        </is>
      </c>
      <c r="D110" s="27" t="inlineStr">
        <is>
          <t>TrustSEAL Verification badge check</t>
        </is>
      </c>
      <c r="E110" s="27" t="inlineStr">
        <is>
          <t xml:space="preserve"> TrustSEAL Verified badge displayed on seller profile and search cards.</t>
        </is>
      </c>
      <c r="F110" s="27" t="inlineStr">
        <is>
          <t>As expected</t>
        </is>
      </c>
      <c r="G110" s="28" t="inlineStr">
        <is>
          <t>Pass</t>
        </is>
      </c>
      <c r="H110" s="27" t="inlineStr"/>
    </row>
    <row r="111">
      <c r="A111" s="29" t="inlineStr">
        <is>
          <t>TC_110</t>
        </is>
      </c>
      <c r="B111" s="29" t="inlineStr">
        <is>
          <t>7. Mobile App &amp; Real-Time Push</t>
        </is>
      </c>
      <c r="C111" s="29" t="inlineStr">
        <is>
          <t>R09</t>
        </is>
      </c>
      <c r="D111" s="29" t="inlineStr">
        <is>
          <t>Web browser push notification permission grant</t>
        </is>
      </c>
      <c r="E111" s="29" t="inlineStr">
        <is>
          <t>Browser receives real-time lead alerts even when IndiaMART tab is closed.</t>
        </is>
      </c>
      <c r="F111" s="29" t="inlineStr">
        <is>
          <t>As expected</t>
        </is>
      </c>
      <c r="G111" s="28" t="inlineStr">
        <is>
          <t>Pass</t>
        </is>
      </c>
      <c r="H111" s="29" t="inlineStr"/>
    </row>
    <row r="112">
      <c r="A112" s="27" t="inlineStr">
        <is>
          <t>TC_111</t>
        </is>
      </c>
      <c r="B112" s="27" t="inlineStr">
        <is>
          <t>8. Security, Session &amp; Compliance</t>
        </is>
      </c>
      <c r="C112" s="27" t="inlineStr">
        <is>
          <t>R09</t>
        </is>
      </c>
      <c r="D112" s="27" t="inlineStr">
        <is>
          <t>Seller IEC (Importer Exporter Code) validation</t>
        </is>
      </c>
      <c r="E112" s="27" t="inlineStr">
        <is>
          <t>Profile marked as eligible for global export inquiries.</t>
        </is>
      </c>
      <c r="F112" s="27" t="inlineStr">
        <is>
          <t>As expected</t>
        </is>
      </c>
      <c r="G112" s="28" t="inlineStr">
        <is>
          <t>Pass</t>
        </is>
      </c>
      <c r="H112" s="27" t="inlineStr"/>
    </row>
    <row r="113">
      <c r="A113" s="29" t="inlineStr">
        <is>
          <t>TC_112</t>
        </is>
      </c>
      <c r="B113" s="29" t="inlineStr">
        <is>
          <t>4. Search, Filters &amp; RFQ Quotes</t>
        </is>
      </c>
      <c r="C113" s="29" t="inlineStr">
        <is>
          <t>R09</t>
        </is>
      </c>
      <c r="D113" s="29" t="inlineStr">
        <is>
          <t>Filter search results by Turnaround Time / Delivery</t>
        </is>
      </c>
      <c r="E113" s="29" t="inlineStr">
        <is>
          <t>Shows suppliers guaranteeing immediate dispatch.</t>
        </is>
      </c>
      <c r="F113" s="29" t="inlineStr">
        <is>
          <t>As expected</t>
        </is>
      </c>
      <c r="G113" s="28" t="inlineStr">
        <is>
          <t>Pass</t>
        </is>
      </c>
      <c r="H113" s="29" t="inlineStr"/>
    </row>
    <row r="114">
      <c r="A114" s="27" t="inlineStr">
        <is>
          <t>TC_113</t>
        </is>
      </c>
      <c r="B114" s="27" t="inlineStr">
        <is>
          <t>6. Payments, Escrow &amp; Invoicing</t>
        </is>
      </c>
      <c r="C114" s="27" t="inlineStr">
        <is>
          <t>R09</t>
        </is>
      </c>
      <c r="D114" s="27" t="inlineStr">
        <is>
          <t>Buyer order cancellation within escrow window</t>
        </is>
      </c>
      <c r="E114" s="27" t="inlineStr">
        <is>
          <t>Refund initiated to original payment source automatically.</t>
        </is>
      </c>
      <c r="F114" s="27" t="inlineStr">
        <is>
          <t>As expected</t>
        </is>
      </c>
      <c r="G114" s="28" t="inlineStr">
        <is>
          <t>Pass</t>
        </is>
      </c>
      <c r="H114" s="27" t="inlineStr"/>
    </row>
    <row r="115">
      <c r="A115" s="29" t="inlineStr">
        <is>
          <t>TC_114</t>
        </is>
      </c>
      <c r="B115" s="29" t="inlineStr">
        <is>
          <t>7. Mobile App &amp; Real-Time Push</t>
        </is>
      </c>
      <c r="C115" s="29" t="inlineStr">
        <is>
          <t>R10</t>
        </is>
      </c>
      <c r="D115" s="29" t="inlineStr">
        <is>
          <t>App permission request for camera during product image upload</t>
        </is>
      </c>
      <c r="E115" s="29" t="inlineStr">
        <is>
          <t>App displays prompt: "Camera permission required to capture product photos".</t>
        </is>
      </c>
      <c r="F115" s="29" t="inlineStr">
        <is>
          <t>As expected</t>
        </is>
      </c>
      <c r="G115" s="28" t="inlineStr">
        <is>
          <t>Pass</t>
        </is>
      </c>
      <c r="H115" s="29" t="inlineStr"/>
    </row>
    <row r="116">
      <c r="A116" s="27" t="inlineStr">
        <is>
          <t>TC_115</t>
        </is>
      </c>
      <c r="B116" s="27" t="inlineStr">
        <is>
          <t>7. Mobile App &amp; Real-Time Push</t>
        </is>
      </c>
      <c r="C116" s="27" t="inlineStr">
        <is>
          <t>R10</t>
        </is>
      </c>
      <c r="D116" s="27" t="inlineStr">
        <is>
          <t>Location permission check for nearest suppliers</t>
        </is>
      </c>
      <c r="E116" s="27" t="inlineStr">
        <is>
          <t>App uses GPS coordinates to sort local suppliers within 10 km radius.</t>
        </is>
      </c>
      <c r="F116" s="27" t="inlineStr">
        <is>
          <t>As expected</t>
        </is>
      </c>
      <c r="G116" s="28" t="inlineStr">
        <is>
          <t>Pass</t>
        </is>
      </c>
      <c r="H116" s="27" t="inlineStr"/>
    </row>
    <row r="117">
      <c r="A117" s="29" t="inlineStr">
        <is>
          <t>TC_116</t>
        </is>
      </c>
      <c r="B117" s="29" t="inlineStr">
        <is>
          <t>10. Platform, UI &amp; Performance</t>
        </is>
      </c>
      <c r="C117" s="29" t="inlineStr">
        <is>
          <t>R10</t>
        </is>
      </c>
      <c r="D117" s="29" t="inlineStr">
        <is>
          <t>Page load time under standard 3G network emulation</t>
        </is>
      </c>
      <c r="E117" s="29" t="inlineStr">
        <is>
          <t>Page fully interactive within 3.5 seconds.</t>
        </is>
      </c>
      <c r="F117" s="29" t="inlineStr">
        <is>
          <t>As expected</t>
        </is>
      </c>
      <c r="G117" s="28" t="inlineStr">
        <is>
          <t>Pass</t>
        </is>
      </c>
      <c r="H117" s="29" t="inlineStr"/>
    </row>
    <row r="118">
      <c r="A118" s="27" t="inlineStr">
        <is>
          <t>TC_117</t>
        </is>
      </c>
      <c r="B118" s="27" t="inlineStr">
        <is>
          <t>10. Platform, UI &amp; Performance</t>
        </is>
      </c>
      <c r="C118" s="27" t="inlineStr">
        <is>
          <t>R10</t>
        </is>
      </c>
      <c r="D118" s="27" t="inlineStr">
        <is>
          <t>Homepage load time during peak sale traffic</t>
        </is>
      </c>
      <c r="E118" s="27" t="inlineStr">
        <is>
          <t>Page load time remains under 2.5 seconds; zero 502/504 server errors.</t>
        </is>
      </c>
      <c r="F118" s="27" t="inlineStr">
        <is>
          <t>As expected</t>
        </is>
      </c>
      <c r="G118" s="28" t="inlineStr">
        <is>
          <t>Pass</t>
        </is>
      </c>
      <c r="H118" s="27" t="inlineStr"/>
    </row>
    <row r="119">
      <c r="A119" s="29" t="inlineStr">
        <is>
          <t>TC_118</t>
        </is>
      </c>
      <c r="B119" s="29" t="inlineStr">
        <is>
          <t>8. Security, Session &amp; Compliance</t>
        </is>
      </c>
      <c r="C119" s="29" t="inlineStr">
        <is>
          <t>R10</t>
        </is>
      </c>
      <c r="D119" s="29" t="inlineStr">
        <is>
          <t>Unauthenticated API endpoint access attempt</t>
        </is>
      </c>
      <c r="E119" s="29" t="inlineStr">
        <is>
          <t>HTTP status 401 Unauthorized returned.</t>
        </is>
      </c>
      <c r="F119" s="29" t="inlineStr">
        <is>
          <t>As expected</t>
        </is>
      </c>
      <c r="G119" s="28" t="inlineStr">
        <is>
          <t>Pass</t>
        </is>
      </c>
      <c r="H119" s="29" t="inlineStr"/>
    </row>
    <row r="120">
      <c r="A120" s="27" t="inlineStr">
        <is>
          <t>TC_119</t>
        </is>
      </c>
      <c r="B120" s="27" t="inlineStr">
        <is>
          <t>10. Platform, UI &amp; Performance</t>
        </is>
      </c>
      <c r="C120" s="27" t="inlineStr">
        <is>
          <t>R10</t>
        </is>
      </c>
      <c r="D120" s="27" t="inlineStr">
        <is>
          <t>Mobile app dark theme toggle</t>
        </is>
      </c>
      <c r="E120" s="27" t="inlineStr">
        <is>
          <t>UI elements switch to dark contrast colors without unreadable text overlaps.</t>
        </is>
      </c>
      <c r="F120" s="27" t="inlineStr">
        <is>
          <t>As expected</t>
        </is>
      </c>
      <c r="G120" s="28" t="inlineStr">
        <is>
          <t>Pass</t>
        </is>
      </c>
      <c r="H120" s="27" t="inlineStr"/>
    </row>
    <row r="121">
      <c r="A121" s="29" t="inlineStr">
        <is>
          <t>TC_120</t>
        </is>
      </c>
      <c r="B121" s="29" t="inlineStr">
        <is>
          <t>2. Seller Profile &amp; Business Settings</t>
        </is>
      </c>
      <c r="C121" s="29" t="inlineStr">
        <is>
          <t>R10</t>
        </is>
      </c>
      <c r="D121" s="29" t="inlineStr">
        <is>
          <t>Data removal request under privacy policy</t>
        </is>
      </c>
      <c r="E121" s="29" t="inlineStr">
        <is>
          <t>Profile catalog and personal contact details permanently anonymized.</t>
        </is>
      </c>
      <c r="F121" s="29" t="inlineStr">
        <is>
          <t>As expected</t>
        </is>
      </c>
      <c r="G121" s="28" t="inlineStr">
        <is>
          <t>Pass</t>
        </is>
      </c>
      <c r="H121" s="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65" customWidth="1" min="3" max="3"/>
    <col width="30" customWidth="1" min="4" max="4"/>
    <col width="35" customWidth="1" min="5" max="5"/>
    <col width="35" customWidth="1" min="6" max="6"/>
    <col width="27" customWidth="1" min="7" max="7"/>
  </cols>
  <sheetData>
    <row r="1">
      <c r="A1" s="9" t="inlineStr">
        <is>
          <t>Req ID</t>
        </is>
      </c>
      <c r="B1" s="9" t="inlineStr">
        <is>
          <t>Module Name</t>
        </is>
      </c>
      <c r="C1" s="9" t="inlineStr">
        <is>
          <t>Requirement Description</t>
        </is>
      </c>
      <c r="D1" s="9" t="inlineStr">
        <is>
          <t>Covered by Test Cases</t>
        </is>
      </c>
      <c r="E1" s="9" t="inlineStr">
        <is>
          <t>Mapped TCs</t>
        </is>
      </c>
      <c r="F1" s="9" t="inlineStr">
        <is>
          <t>Executed TCs</t>
        </is>
      </c>
      <c r="G1" s="9" t="inlineStr">
        <is>
          <t>Tested Status</t>
        </is>
      </c>
    </row>
    <row r="2">
      <c r="A2" s="10" t="inlineStr">
        <is>
          <t>R01</t>
        </is>
      </c>
      <c r="B2" s="11" t="inlineStr">
        <is>
          <t>1. Seller Onboarding &amp; KYC</t>
        </is>
      </c>
      <c r="C2" s="11" t="inlineStr">
        <is>
          <t>User should be able to register and verify seller account with mobile &amp; GST</t>
        </is>
      </c>
      <c r="D2" s="11" t="inlineStr">
        <is>
          <t>TC_001 to TC_008</t>
        </is>
      </c>
      <c r="E2" s="16">
        <f>COUNTIF('Test Cases'!C:C, A2)</f>
        <v/>
      </c>
      <c r="F2" s="16">
        <f>COUNTIF('Test Cases'!C:C, A2)</f>
        <v/>
      </c>
      <c r="G2" s="31">
        <f>IF(F2&gt;0, "Yes", "No")</f>
        <v/>
      </c>
    </row>
    <row r="3">
      <c r="A3" s="10" t="inlineStr">
        <is>
          <t>R02</t>
        </is>
      </c>
      <c r="B3" s="11" t="inlineStr">
        <is>
          <t>2. Seller Profile &amp; Business Settings</t>
        </is>
      </c>
      <c r="C3" s="11" t="inlineStr">
        <is>
          <t>Seller should be able to manage business profile, address, branding, and user access</t>
        </is>
      </c>
      <c r="D3" s="11" t="inlineStr">
        <is>
          <t>TC_009 to TC_025</t>
        </is>
      </c>
      <c r="E3" s="16">
        <f>COUNTIF('Test Cases'!C:C, A3)</f>
        <v/>
      </c>
      <c r="F3" s="16">
        <f>COUNTIF('Test Cases'!C:C, A3)</f>
        <v/>
      </c>
      <c r="G3" s="31">
        <f>IF(F3&gt;0, "Yes", "No")</f>
        <v/>
      </c>
    </row>
    <row r="4">
      <c r="A4" s="10" t="inlineStr">
        <is>
          <t>R03</t>
        </is>
      </c>
      <c r="B4" s="11" t="inlineStr">
        <is>
          <t>3. Catalog &amp; Product Management</t>
        </is>
      </c>
      <c r="C4" s="11" t="inlineStr">
        <is>
          <t>Seller/Admin should be able to list, edit, bulk upload, and moderate catalog items</t>
        </is>
      </c>
      <c r="D4" s="11" t="inlineStr">
        <is>
          <t>TC_026 to TC_046</t>
        </is>
      </c>
      <c r="E4" s="16">
        <f>COUNTIF('Test Cases'!C:C, A4)</f>
        <v/>
      </c>
      <c r="F4" s="16">
        <f>COUNTIF('Test Cases'!C:C, A4)</f>
        <v/>
      </c>
      <c r="G4" s="31">
        <f>IF(F4&gt;0, "Yes", "No")</f>
        <v/>
      </c>
    </row>
    <row r="5">
      <c r="A5" s="10" t="inlineStr">
        <is>
          <t>R04</t>
        </is>
      </c>
      <c r="B5" s="11" t="inlineStr">
        <is>
          <t>4. Search, Filters &amp; RFQ Quotes</t>
        </is>
      </c>
      <c r="C5" s="11" t="inlineStr">
        <is>
          <t>Buyers should be able to search products, apply filters, and request B2B quotes</t>
        </is>
      </c>
      <c r="D5" s="11" t="inlineStr">
        <is>
          <t>TC_047 to TC_060</t>
        </is>
      </c>
      <c r="E5" s="16">
        <f>COUNTIF('Test Cases'!C:C, A5)</f>
        <v/>
      </c>
      <c r="F5" s="16">
        <f>COUNTIF('Test Cases'!C:C, A5)</f>
        <v/>
      </c>
      <c r="G5" s="31">
        <f>IF(F5&gt;0, "Yes", "No")</f>
        <v/>
      </c>
    </row>
    <row r="6">
      <c r="A6" s="10" t="inlineStr">
        <is>
          <t>R05</t>
        </is>
      </c>
      <c r="B6" s="11" t="inlineStr">
        <is>
          <t>5. Lead Management &amp; CRM</t>
        </is>
      </c>
      <c r="C6" s="11" t="inlineStr">
        <is>
          <t>Seller should receive, filter, communicate, and resolve disputes for BuyLeads</t>
        </is>
      </c>
      <c r="D6" s="11" t="inlineStr">
        <is>
          <t>TC_061 to TC_079</t>
        </is>
      </c>
      <c r="E6" s="16">
        <f>COUNTIF('Test Cases'!C:C, A6)</f>
        <v/>
      </c>
      <c r="F6" s="16">
        <f>COUNTIF('Test Cases'!C:C, A6)</f>
        <v/>
      </c>
      <c r="G6" s="31">
        <f>IF(F6&gt;0, "Yes", "No")</f>
        <v/>
      </c>
    </row>
    <row r="7">
      <c r="A7" s="10" t="inlineStr">
        <is>
          <t>R06</t>
        </is>
      </c>
      <c r="B7" s="11" t="inlineStr">
        <is>
          <t>6. Payments, Escrow &amp; Invoicing</t>
        </is>
      </c>
      <c r="C7" s="11" t="inlineStr">
        <is>
          <t>System should process gateway payments, escrow, GST billing, and invoicing</t>
        </is>
      </c>
      <c r="D7" s="11" t="inlineStr">
        <is>
          <t>TC_080 to TC_090</t>
        </is>
      </c>
      <c r="E7" s="16">
        <f>COUNTIF('Test Cases'!C:C, A7)</f>
        <v/>
      </c>
      <c r="F7" s="16">
        <f>COUNTIF('Test Cases'!C:C, A7)</f>
        <v/>
      </c>
      <c r="G7" s="31">
        <f>IF(F7&gt;0, "Yes", "No")</f>
        <v/>
      </c>
    </row>
    <row r="8">
      <c r="A8" s="10" t="inlineStr">
        <is>
          <t>R07</t>
        </is>
      </c>
      <c r="B8" s="11" t="inlineStr">
        <is>
          <t>7. Mobile App &amp; Real-Time Push</t>
        </is>
      </c>
      <c r="C8" s="11" t="inlineStr">
        <is>
          <t>Mobile users should receive real-time push alerts, chat, and OTP logins</t>
        </is>
      </c>
      <c r="D8" s="11" t="inlineStr">
        <is>
          <t>TC_091 to TC_099</t>
        </is>
      </c>
      <c r="E8" s="16">
        <f>COUNTIF('Test Cases'!C:C, A8)</f>
        <v/>
      </c>
      <c r="F8" s="16">
        <f>COUNTIF('Test Cases'!C:C, A8)</f>
        <v/>
      </c>
      <c r="G8" s="31">
        <f>IF(F8&gt;0, "Yes", "No")</f>
        <v/>
      </c>
    </row>
    <row r="9">
      <c r="A9" s="10" t="inlineStr">
        <is>
          <t>R08</t>
        </is>
      </c>
      <c r="B9" s="11" t="inlineStr">
        <is>
          <t>8. Security, Session &amp; Compliance</t>
        </is>
      </c>
      <c r="C9" s="11" t="inlineStr">
        <is>
          <t>Platform must enforce password security, API auth, spam control, and export compliance</t>
        </is>
      </c>
      <c r="D9" s="11" t="inlineStr">
        <is>
          <t>TC_100 to TC_107</t>
        </is>
      </c>
      <c r="E9" s="16">
        <f>COUNTIF('Test Cases'!C:C, A9)</f>
        <v/>
      </c>
      <c r="F9" s="16">
        <f>COUNTIF('Test Cases'!C:C, A9)</f>
        <v/>
      </c>
      <c r="G9" s="31">
        <f>IF(F9&gt;0, "Yes", "No")</f>
        <v/>
      </c>
    </row>
    <row r="10">
      <c r="A10" s="10" t="inlineStr">
        <is>
          <t>R09</t>
        </is>
      </c>
      <c r="B10" s="11" t="inlineStr">
        <is>
          <t>9. Analytics &amp; Paid Subscriptions</t>
        </is>
      </c>
      <c r="C10" s="11" t="inlineStr">
        <is>
          <t>Sellers should access analytics dashboards, package limits, and subscription plans</t>
        </is>
      </c>
      <c r="D10" s="11" t="inlineStr">
        <is>
          <t>TC_108 to TC_113</t>
        </is>
      </c>
      <c r="E10" s="16">
        <f>COUNTIF('Test Cases'!C:C, A10)</f>
        <v/>
      </c>
      <c r="F10" s="16">
        <f>COUNTIF('Test Cases'!C:C, A10)</f>
        <v/>
      </c>
      <c r="G10" s="31">
        <f>IF(F10&gt;0, "Yes", "No")</f>
        <v/>
      </c>
    </row>
    <row r="11">
      <c r="A11" s="10" t="inlineStr">
        <is>
          <t>R10</t>
        </is>
      </c>
      <c r="B11" s="11" t="inlineStr">
        <is>
          <t>10. Platform, UI &amp; Performance</t>
        </is>
      </c>
      <c r="C11" s="11" t="inlineStr">
        <is>
          <t>Application must support multi-language, responsive layout, dark mode, and load SLAs</t>
        </is>
      </c>
      <c r="D11" s="11" t="inlineStr">
        <is>
          <t>TC_114 to TC_120</t>
        </is>
      </c>
      <c r="E11" s="16">
        <f>COUNTIF('Test Cases'!C:C, A11)</f>
        <v/>
      </c>
      <c r="F11" s="16">
        <f>COUNTIF('Test Cases'!C:C, A11)</f>
        <v/>
      </c>
      <c r="G11" s="31">
        <f>IF(F11&gt;0, "Yes", "No")</f>
        <v/>
      </c>
    </row>
    <row r="12">
      <c r="A12" s="10" t="inlineStr">
        <is>
          <t>R11</t>
        </is>
      </c>
      <c r="B12" s="11" t="inlineStr">
        <is>
          <t>6. Payments, Escrow &amp; Invoicing</t>
        </is>
      </c>
      <c r="C12" s="11" t="inlineStr">
        <is>
          <t>Engineering release updating GST Invoicing &amp; Lead Export with full coverage</t>
        </is>
      </c>
      <c r="D12" s="11" t="inlineStr">
        <is>
          <t>Covered in TC_080 - TC_090</t>
        </is>
      </c>
      <c r="E12" s="16">
        <f>COUNTIF('Test Cases'!C:C, A12)</f>
        <v/>
      </c>
      <c r="F12" s="16">
        <f>COUNTIF('Test Cases'!C:C, A12)</f>
        <v/>
      </c>
      <c r="G12" s="31">
        <f>IF(F12&gt;0, "Yes", "No")</f>
        <v/>
      </c>
    </row>
    <row r="13">
      <c r="A13" s="10" t="inlineStr">
        <is>
          <t>R12</t>
        </is>
      </c>
      <c r="B13" s="11" t="inlineStr">
        <is>
          <t>4. Search, Filters &amp; RFQ Quotes</t>
        </is>
      </c>
      <c r="C13" s="11" t="inlineStr">
        <is>
          <t>Inquiry matching engine refactored with 160 KLOC and integration tests</t>
        </is>
      </c>
      <c r="D13" s="11" t="inlineStr">
        <is>
          <t>Covered in TC_047 - TC_060</t>
        </is>
      </c>
      <c r="E13" s="16">
        <f>COUNTIF('Test Cases'!C:C, A13)</f>
        <v/>
      </c>
      <c r="F13" s="16">
        <f>COUNTIF('Test Cases'!C:C, A13)</f>
        <v/>
      </c>
      <c r="G13" s="31">
        <f>IF(F13&gt;0, "Yes", "No")</f>
        <v/>
      </c>
    </row>
    <row r="14">
      <c r="A14" s="10" t="inlineStr">
        <is>
          <t>R13</t>
        </is>
      </c>
      <c r="B14" s="11" t="inlineStr">
        <is>
          <t>10. Platform, UI &amp; Performance</t>
        </is>
      </c>
      <c r="C14" s="11" t="inlineStr">
        <is>
          <t>Performance testing of supplier product catalog page loading performance</t>
        </is>
      </c>
      <c r="D14" s="11" t="inlineStr">
        <is>
          <t>Covered in TC_114 - TC_120</t>
        </is>
      </c>
      <c r="E14" s="16">
        <f>COUNTIF('Test Cases'!C:C, A14)</f>
        <v/>
      </c>
      <c r="F14" s="16">
        <f>COUNTIF('Test Cases'!C:C, A14)</f>
        <v/>
      </c>
      <c r="G14" s="31">
        <f>IF(F14&gt;0, "Yes", "No")</f>
        <v/>
      </c>
    </row>
    <row r="15">
      <c r="A15" s="10" t="inlineStr">
        <is>
          <t>R14</t>
        </is>
      </c>
      <c r="B15" s="11" t="inlineStr">
        <is>
          <t>7. Mobile App &amp; Real-Time Push</t>
        </is>
      </c>
      <c r="C15" s="11" t="inlineStr">
        <is>
          <t>Push notification server latency verification under peak load runs</t>
        </is>
      </c>
      <c r="D15" s="11" t="inlineStr">
        <is>
          <t>Covered in TC_091 - TC_099</t>
        </is>
      </c>
      <c r="E15" s="16">
        <f>COUNTIF('Test Cases'!C:C, A15)</f>
        <v/>
      </c>
      <c r="F15" s="16">
        <f>COUNTIF('Test Cases'!C:C, A15)</f>
        <v/>
      </c>
      <c r="G15" s="31">
        <f>IF(F15&gt;0, "Yes", "No")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65" customWidth="1" min="4" max="4"/>
    <col width="14" customWidth="1" min="5" max="5"/>
    <col width="17" customWidth="1" min="6" max="6"/>
  </cols>
  <sheetData>
    <row r="1">
      <c r="A1" s="9" t="inlineStr">
        <is>
          <t>Defect ID</t>
        </is>
      </c>
      <c r="B1" s="9" t="inlineStr">
        <is>
          <t>Module Name</t>
        </is>
      </c>
      <c r="C1" s="9" t="inlineStr">
        <is>
          <t>Failed TCs Count</t>
        </is>
      </c>
      <c r="D1" s="9" t="inlineStr">
        <is>
          <t>Defect Summary &amp; Reproduction Steps</t>
        </is>
      </c>
      <c r="E1" s="9" t="inlineStr">
        <is>
          <t>Severity</t>
        </is>
      </c>
      <c r="F1" s="9" t="inlineStr">
        <is>
          <t>Defect Status</t>
        </is>
      </c>
    </row>
    <row r="2">
      <c r="A2" s="10" t="inlineStr">
        <is>
          <t>DEF-001</t>
        </is>
      </c>
      <c r="B2" s="11" t="inlineStr">
        <is>
          <t>3. Catalog &amp; Product Management</t>
        </is>
      </c>
      <c r="C2" s="16" t="n">
        <v>1</v>
      </c>
      <c r="D2" s="11" t="inlineStr">
        <is>
          <t>Product approval workflow fails to flag banned/prohibited keywords in admin moderation. Steps: 1. Add product with banned keywords -&gt; 2. Submit -&gt; 3. Product approved without flag.</t>
        </is>
      </c>
      <c r="E2" s="10" t="inlineStr">
        <is>
          <t>High</t>
        </is>
      </c>
      <c r="F2" s="10" t="inlineStr">
        <is>
          <t>Open</t>
        </is>
      </c>
    </row>
    <row r="3">
      <c r="A3" s="10" t="inlineStr">
        <is>
          <t>DEF-002</t>
        </is>
      </c>
      <c r="B3" s="11" t="inlineStr">
        <is>
          <t>5. Lead Management &amp; CRM</t>
        </is>
      </c>
      <c r="C3" s="16" t="n">
        <v>1</v>
      </c>
      <c r="D3" s="11" t="inlineStr">
        <is>
          <t>Claim BuyLead refund fails to verify/refund points for fake contact details. Steps: 1. Report lead with non-working phone -&gt; 2. Verify refund log -&gt; 3. Credit points not restored.</t>
        </is>
      </c>
      <c r="E3" s="10" t="inlineStr">
        <is>
          <t>High</t>
        </is>
      </c>
      <c r="F3" s="10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4" customWidth="1" min="2" max="2"/>
  </cols>
  <sheetData>
    <row r="1">
      <c r="A1" s="22" t="inlineStr">
        <is>
          <t>Test Run #</t>
        </is>
      </c>
      <c r="B1" s="22" t="n"/>
    </row>
    <row r="2">
      <c r="A2" s="11" t="inlineStr">
        <is>
          <t>Test Run 1</t>
        </is>
      </c>
      <c r="B2" s="32" t="n">
        <v>3.2</v>
      </c>
    </row>
    <row r="3">
      <c r="A3" s="11" t="inlineStr">
        <is>
          <t>Test Run 2</t>
        </is>
      </c>
      <c r="B3" s="32" t="n">
        <v>1.8</v>
      </c>
    </row>
    <row r="4">
      <c r="A4" s="11" t="inlineStr">
        <is>
          <t>Test Run 3</t>
        </is>
      </c>
      <c r="B4" s="32" t="n">
        <v>4.5</v>
      </c>
    </row>
    <row r="5">
      <c r="A5" s="11" t="inlineStr">
        <is>
          <t>Test Run 4</t>
        </is>
      </c>
      <c r="B5" s="32" t="n">
        <v>2.1</v>
      </c>
    </row>
    <row r="6">
      <c r="A6" s="11" t="inlineStr">
        <is>
          <t>Test Run 5</t>
        </is>
      </c>
      <c r="B6" s="32" t="n">
        <v>2.8</v>
      </c>
    </row>
    <row r="7"/>
    <row r="8">
      <c r="A8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2026-09-24T16:01:24Z</dcterms:created>
  <dcterms:modified xmlns:dcterms="http://purl.org/dc/terms/" xmlns:xsi="http://www.w3.org/2001/XMLSchema-instance" xsi:type="dcterms:W3CDTF">2026-09-24T16:17:54Z</dcterms:modified>
</cp:coreProperties>
</file>